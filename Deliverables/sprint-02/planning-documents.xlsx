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Mid-Project Release plan" sheetId="9" r:id="rId11"/>
    <sheet state="visible" name="Final Project Release plan" sheetId="10" r:id="rId12"/>
    <sheet state="visible" name="Definition of Done" sheetId="11" r:id="rId13"/>
    <sheet state="visible" name="Documentation" sheetId="12" r:id="rId14"/>
    <sheet state="visible" name="Bill of Materials" sheetId="13" r:id="rId15"/>
    <sheet state="visible" name="Planning Poker" sheetId="14" r:id="rId16"/>
  </sheets>
  <definedNames/>
  <calcPr/>
</workbook>
</file>

<file path=xl/sharedStrings.xml><?xml version="1.0" encoding="utf-8"?>
<sst xmlns="http://schemas.openxmlformats.org/spreadsheetml/2006/main" count="266" uniqueCount="165">
  <si>
    <t>Project Name</t>
  </si>
  <si>
    <t>rtdip-timeseries-forecasting</t>
  </si>
  <si>
    <t>Online team meeting</t>
  </si>
  <si>
    <t>https://fau.zoom-x.de/j/65502405196?pwd=8H73lyixQfqKrnO8Eb47kawnuKCnGp.1</t>
  </si>
  <si>
    <t>Production system (if any)</t>
  </si>
  <si>
    <t>TBD (Industry Partner Meeting on Monday)</t>
  </si>
  <si>
    <t>Test system (if any)</t>
  </si>
  <si>
    <t>GitHub repository</t>
  </si>
  <si>
    <t>https://github.com/amosproj/amos2025ws03-rtdip-timeseries-forecasting</t>
  </si>
  <si>
    <t>GitHub feature board</t>
  </si>
  <si>
    <t>https://github.com/orgs/amosproj/projects/91/</t>
  </si>
  <si>
    <t>GitHub imp-squared backlog</t>
  </si>
  <si>
    <t>https://github.com/orgs/amosproj/projects/96</t>
  </si>
  <si>
    <t>Team T-shirt (white)</t>
  </si>
  <si>
    <t>https://www.shirtinator.de/s/hxP8hSnaRtySUDnzQlWstg</t>
  </si>
  <si>
    <t>Team T-shirt (black)</t>
  </si>
  <si>
    <t>https://www.shirtinator.de/s/8r9ZDTMpQdiFofT4Mu9cUw</t>
  </si>
  <si>
    <t>Additional materials</t>
  </si>
  <si>
    <t>https://discord.gg/KJXGmjcs</t>
  </si>
  <si>
    <t>Team maling list</t>
  </si>
  <si>
    <t>oss-amos-proj3@lists.fau.de</t>
  </si>
  <si>
    <t>Happines Index App</t>
  </si>
  <si>
    <t>https://happy-amos.appspot.com/Courses</t>
  </si>
  <si>
    <t>Last Name</t>
  </si>
  <si>
    <t>First Name</t>
  </si>
  <si>
    <t>GitHub User Name</t>
  </si>
  <si>
    <t>Email Address</t>
  </si>
  <si>
    <t>Böhm</t>
  </si>
  <si>
    <t>Luca</t>
  </si>
  <si>
    <t>qw3rat</t>
  </si>
  <si>
    <t>luca.boehm@fau.de</t>
  </si>
  <si>
    <t>Meusling</t>
  </si>
  <si>
    <t>Patrick</t>
  </si>
  <si>
    <t>SirGankalot</t>
  </si>
  <si>
    <t>meusling@campus.tu-berlin.de</t>
  </si>
  <si>
    <t>Arifin</t>
  </si>
  <si>
    <t>Hafidz</t>
  </si>
  <si>
    <t>zenzeii</t>
  </si>
  <si>
    <t>h.arifin@campus.tu-berlin.de</t>
  </si>
  <si>
    <t>Huy</t>
  </si>
  <si>
    <t>Christoph</t>
  </si>
  <si>
    <t>Perimora</t>
  </si>
  <si>
    <t>christoph.huy@campus.tu-berlin.de</t>
  </si>
  <si>
    <t>Selbig</t>
  </si>
  <si>
    <t>Simon</t>
  </si>
  <si>
    <t>simonselbig</t>
  </si>
  <si>
    <t>simon.selbig@gmx.de</t>
  </si>
  <si>
    <t>Haseeb</t>
  </si>
  <si>
    <t>Abdul</t>
  </si>
  <si>
    <t>abdulhaseeb-se</t>
  </si>
  <si>
    <t>abdul.ah.haseeb@fau.de</t>
  </si>
  <si>
    <t>Pohnke</t>
  </si>
  <si>
    <t>Hannes</t>
  </si>
  <si>
    <t>hpfref</t>
  </si>
  <si>
    <t>hannes.j.pohnke@gmail.com</t>
  </si>
  <si>
    <t>Jokiel</t>
  </si>
  <si>
    <t>Rene</t>
  </si>
  <si>
    <t>BelmontR</t>
  </si>
  <si>
    <t>rene.jokiel@fau.de</t>
  </si>
  <si>
    <t>Khabouze</t>
  </si>
  <si>
    <t>Mehdi</t>
  </si>
  <si>
    <t>Mehdi-kbz</t>
  </si>
  <si>
    <t>khabouze@campus.tu-berlin.de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</si>
  <si>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</si>
  <si>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</si>
  <si>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</si>
  <si>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</si>
  <si>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</si>
  <si>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</si>
  <si>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</si>
  <si>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</si>
  <si>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</si>
  <si>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Patrick Meusling</t>
  </si>
  <si>
    <t>Hafidz Arifin</t>
  </si>
  <si>
    <t>Everyone else</t>
  </si>
  <si>
    <t>N/A</t>
  </si>
  <si>
    <t>Mehdi Khabouze</t>
  </si>
  <si>
    <t>Rene Jokiel</t>
  </si>
  <si>
    <t>Abdul Haseeb</t>
  </si>
  <si>
    <t>Hannes Pohnke</t>
  </si>
  <si>
    <t>Simon Selbig</t>
  </si>
  <si>
    <t>Mid-term due</t>
  </si>
  <si>
    <t>Demo day!</t>
  </si>
  <si>
    <t>Retrospective</t>
  </si>
  <si>
    <t>Product owners, software developers, and Scurm Master are set and ideally don't change over time; the critical part is the Release Manager role you need to define here</t>
  </si>
  <si>
    <t>Goals</t>
  </si>
  <si>
    <t>Aquire new skills</t>
  </si>
  <si>
    <t>Produce a functioning and valuable product (a 1.0)</t>
  </si>
  <si>
    <t>Meeting norms</t>
  </si>
  <si>
    <t>We respect the opinions of others and we show up on time</t>
  </si>
  <si>
    <t>Summary of Partner Meeting required</t>
  </si>
  <si>
    <t>Working norms</t>
  </si>
  <si>
    <t>Clean, testable code with clear commit messages, code comments</t>
  </si>
  <si>
    <t>We respect other people's work</t>
  </si>
  <si>
    <t>Coordination norms</t>
  </si>
  <si>
    <t xml:space="preserve">seperate branches for issues, second person review </t>
  </si>
  <si>
    <t>We balance workload among the team</t>
  </si>
  <si>
    <t>Communication norms</t>
  </si>
  <si>
    <t>Daily check the corresponding channels (discord)</t>
  </si>
  <si>
    <t>We communicate constructively, make sure to communicate possible problems (absence, etc.)</t>
  </si>
  <si>
    <t>Consideration norms</t>
  </si>
  <si>
    <t>We discuss issues openly</t>
  </si>
  <si>
    <t>We vote in case we can't reach a consensus</t>
  </si>
  <si>
    <t>Cont. improvement norms</t>
  </si>
  <si>
    <t>We encourage critique and improvement efforts</t>
  </si>
  <si>
    <t>Encourage reaching out for help (use the strength/skills of others)</t>
  </si>
  <si>
    <t>Rewards</t>
  </si>
  <si>
    <t>We treat ourselfes to a sweet of choice for good work</t>
  </si>
  <si>
    <t>Sanctions</t>
  </si>
  <si>
    <t>Push Ups (amount decided on the case)</t>
  </si>
  <si>
    <t>Signatures</t>
  </si>
  <si>
    <t>Luca Böhm</t>
  </si>
  <si>
    <t>Product owner</t>
  </si>
  <si>
    <t>Software developer</t>
  </si>
  <si>
    <t>Christoph Huy</t>
  </si>
  <si>
    <t xml:space="preserve">Mehdi Khabouze </t>
  </si>
  <si>
    <t>Product Vision</t>
  </si>
  <si>
    <t>Project Mission</t>
  </si>
  <si>
    <t>The reason of existence of the envisioned product (beyond this project).</t>
  </si>
  <si>
    <t>The mission of this particular project (in the context of the product vision).</t>
  </si>
  <si>
    <t>Term</t>
  </si>
  <si>
    <t>Definition</t>
  </si>
  <si>
    <t>Sprint #</t>
  </si>
  <si>
    <t>Sprint goal</t>
  </si>
  <si>
    <t>None</t>
  </si>
  <si>
    <t>Optional</t>
  </si>
  <si>
    <t>Write your sprint goal here</t>
  </si>
  <si>
    <t>Story Points Realized</t>
  </si>
  <si>
    <t>PLEASE CREATE THE VELOCITY CHART ON A NEW TAB USING THE DATA FROM THIS TAB</t>
  </si>
  <si>
    <t>Sprint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</si>
  <si>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</si>
  <si>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</si>
  <si>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</si>
  <si>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</si>
  <si>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</si>
  <si>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</si>
  <si>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</si>
  <si>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</si>
  <si>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</si>
  <si>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</si>
  <si>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</si>
  <si>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...</t>
  </si>
  <si>
    <t>Features</t>
  </si>
  <si>
    <t>PLEASE CREATE THE BURNDOWN CHART ON A NEW TAB USING THE DATA FROM THIS TAB</t>
  </si>
  <si>
    <t>Feature Definition of Done</t>
  </si>
  <si>
    <t>Sprint Release Definition of Done</t>
  </si>
  <si>
    <t>Project Release Definition of Done</t>
  </si>
  <si>
    <t>Type</t>
  </si>
  <si>
    <t>Link / reference</t>
  </si>
  <si>
    <t>Context</t>
  </si>
  <si>
    <t>Name</t>
  </si>
  <si>
    <t>Version</t>
  </si>
  <si>
    <t>License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</si>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</sst>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d"/>
  </numFmts>
  <fonts count="12">
    <font>
      <sz val="10.0"/>
      <color rgb="FF000000"/>
      <name val="Arial"/>
    </font>
    <font>
      <b/>
    </font>
    <font/>
    <font>
      <u/>
      <color rgb="FF0000FF"/>
    </font>
    <font>
      <u/>
      <color rgb="FF56A3F1"/>
    </font>
    <font>
      <u/>
      <color rgb="FF0000FF"/>
    </font>
    <font>
      <b/>
      <color rgb="FF181A1B"/>
    </font>
    <font>
      <sz val="11.0"/>
      <name val="'Sans Serif'"/>
    </font>
    <font>
      <b/>
      <name val="Arial"/>
    </font>
    <font>
      <name val="Arial"/>
    </font>
    <font>
      <color rgb="FFFFFFFF"/>
      <name val="Arial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2" fontId="1" numFmtId="0" xfId="0" applyAlignment="1" applyFill="1" applyFont="1">
      <alignment horizontal="center" readingOrder="0" shrinkToFit="0" wrapText="0"/>
    </xf>
    <xf borderId="0" fillId="2" fontId="1" numFmtId="0" xfId="0" applyAlignment="1" applyFont="1">
      <alignment horizontal="center" shrinkToFit="0" wrapText="0"/>
    </xf>
    <xf borderId="0" fillId="0" fontId="1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shrinkToFit="0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readingOrder="0" shrinkToFit="0" wrapText="0"/>
    </xf>
    <xf borderId="0" fillId="0" fontId="2" numFmtId="165" xfId="0" applyAlignment="1" applyFont="1" applyNumberFormat="1">
      <alignment horizontal="left" readingOrder="0" shrinkToFit="0" wrapText="0"/>
    </xf>
    <xf borderId="0" fillId="0" fontId="2" numFmtId="164" xfId="0" applyAlignment="1" applyFont="1" applyNumberFormat="1">
      <alignment shrinkToFit="0" wrapText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 shrinkToFit="0" wrapText="0"/>
    </xf>
    <xf borderId="0" fillId="0" fontId="2" numFmtId="165" xfId="0" applyAlignment="1" applyFont="1" applyNumberFormat="1">
      <alignment shrinkToFit="0" wrapText="0"/>
    </xf>
    <xf borderId="0" fillId="0" fontId="2" numFmtId="165" xfId="0" applyAlignment="1" applyFont="1" applyNumberFormat="1">
      <alignment horizontal="left" shrinkToFit="0" wrapText="0"/>
    </xf>
    <xf borderId="0" fillId="0" fontId="2" numFmtId="165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0" fontId="7" numFmtId="0" xfId="0" applyAlignment="1" applyFont="1">
      <alignment readingOrder="0" shrinkToFit="0" wrapText="1"/>
    </xf>
    <xf borderId="0" fillId="3" fontId="8" numFmtId="0" xfId="0" applyAlignment="1" applyFill="1" applyFont="1">
      <alignment shrinkToFit="0" vertical="bottom" wrapText="1"/>
    </xf>
    <xf borderId="0" fillId="3" fontId="9" numFmtId="0" xfId="0" applyAlignment="1" applyFont="1">
      <alignment readingOrder="0" shrinkToFit="0" vertical="bottom" wrapText="1"/>
    </xf>
    <xf borderId="0" fillId="4" fontId="9" numFmtId="0" xfId="0" applyAlignment="1" applyFill="1" applyFont="1">
      <alignment shrinkToFit="0" vertical="bottom" wrapText="1"/>
    </xf>
    <xf borderId="0" fillId="4" fontId="9" numFmtId="0" xfId="0" applyAlignment="1" applyFont="1">
      <alignment readingOrder="0" shrinkToFit="0" vertical="bottom" wrapText="1"/>
    </xf>
    <xf borderId="0" fillId="3" fontId="8" numFmtId="0" xfId="0" applyAlignment="1" applyFont="1">
      <alignment readingOrder="0" shrinkToFit="0" vertical="bottom" wrapText="1"/>
    </xf>
    <xf borderId="0" fillId="4" fontId="9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2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4" fontId="9" numFmtId="0" xfId="0" applyAlignment="1" applyFont="1">
      <alignment readingOrder="0"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shrinkToFit="0" wrapText="1"/>
    </xf>
    <xf borderId="0" fillId="5" fontId="1" numFmtId="0" xfId="0" applyAlignment="1" applyFill="1" applyFont="1">
      <alignment readingOrder="0" shrinkToFit="0" wrapText="1"/>
    </xf>
    <xf borderId="0" fillId="2" fontId="8" numFmtId="0" xfId="0" applyAlignment="1" applyFont="1">
      <alignment horizontal="left" shrinkToFit="0" vertical="bottom" wrapText="1"/>
    </xf>
    <xf borderId="0" fillId="2" fontId="8" numFmtId="0" xfId="0" applyAlignment="1" applyFont="1">
      <alignment shrinkToFit="0" vertical="bottom" wrapText="0"/>
    </xf>
    <xf borderId="0" fillId="2" fontId="8" numFmtId="0" xfId="0" applyAlignment="1" applyFont="1">
      <alignment shrinkToFit="0" vertical="bottom" wrapText="0"/>
    </xf>
    <xf borderId="0" fillId="2" fontId="8" numFmtId="0" xfId="0" applyAlignment="1" applyFont="1">
      <alignment horizontal="center" readingOrder="0" shrinkToFit="0" vertical="bottom" wrapText="1"/>
    </xf>
    <xf borderId="0" fillId="3" fontId="9" numFmtId="0" xfId="0" applyAlignment="1" applyFont="1">
      <alignment horizontal="left" shrinkToFit="0" vertical="bottom" wrapText="1"/>
    </xf>
    <xf borderId="0" fillId="3" fontId="9" numFmtId="0" xfId="0" applyAlignment="1" applyFont="1">
      <alignment shrinkToFit="0" vertical="bottom" wrapText="0"/>
    </xf>
    <xf borderId="0" fillId="3" fontId="9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9" numFmtId="0" xfId="0" applyAlignment="1" applyFont="1">
      <alignment shrinkToFit="0" vertical="bottom" wrapText="0"/>
    </xf>
    <xf borderId="0" fillId="6" fontId="9" numFmtId="0" xfId="0" applyAlignment="1" applyFont="1">
      <alignment shrinkToFit="0" vertical="bottom" wrapText="1"/>
    </xf>
    <xf borderId="0" fillId="4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4" fontId="9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9" numFmtId="0" xfId="0" applyAlignment="1" applyFont="1">
      <alignment shrinkToFit="0" vertical="bottom" wrapText="1"/>
    </xf>
    <xf borderId="0" fillId="3" fontId="10" numFmtId="0" xfId="0" applyAlignment="1" applyFont="1">
      <alignment horizontal="center" shrinkToFit="0" vertical="bottom" wrapText="0"/>
    </xf>
    <xf borderId="0" fillId="4" fontId="9" numFmtId="0" xfId="0" applyAlignment="1" applyFont="1">
      <alignment horizontal="left" shrinkToFit="0" vertical="bottom" wrapText="1"/>
    </xf>
    <xf borderId="0" fillId="3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horizontal="left" readingOrder="0" shrinkToFit="0" vertical="bottom" wrapText="1"/>
    </xf>
    <xf borderId="0" fillId="3" fontId="9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9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4" fontId="9" numFmtId="0" xfId="0" applyAlignment="1" applyFont="1">
      <alignment shrinkToFit="0" vertical="bottom" wrapText="0"/>
    </xf>
    <xf borderId="0" fillId="3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horizontal="left" shrinkToFit="0" vertical="bottom" wrapText="1"/>
    </xf>
    <xf borderId="0" fillId="5" fontId="1" numFmtId="0" xfId="0" applyAlignment="1" applyFont="1">
      <alignment readingOrder="0" shrinkToFit="0" wrapText="0"/>
    </xf>
    <xf borderId="0" fillId="2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3" fontId="9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2" fontId="8" numFmtId="0" xfId="0" applyAlignment="1" applyFont="1">
      <alignment shrinkToFit="0" vertical="center" wrapText="1"/>
    </xf>
    <xf borderId="0" fillId="2" fontId="8" numFmtId="0" xfId="0" applyAlignment="1" applyFont="1">
      <alignment horizontal="center" shrinkToFit="0" vertical="center" wrapText="1"/>
    </xf>
    <xf borderId="0" fillId="2" fontId="8" numFmtId="4" xfId="0" applyAlignment="1" applyFont="1" applyNumberFormat="1">
      <alignment shrinkToFit="0" vertical="center" wrapText="1"/>
    </xf>
    <xf borderId="0" fillId="2" fontId="9" numFmtId="4" xfId="0" applyAlignment="1" applyFont="1" applyNumberFormat="1">
      <alignment shrinkToFit="0" vertical="center" wrapText="1"/>
    </xf>
    <xf borderId="0" fillId="2" fontId="9" numFmtId="0" xfId="0" applyAlignment="1" applyFont="1">
      <alignment shrinkToFit="0" vertical="center" wrapText="1"/>
    </xf>
    <xf borderId="0" fillId="2" fontId="1" numFmtId="0" xfId="0" applyAlignment="1" applyFont="1">
      <alignment shrinkToFit="0" vertical="center" wrapText="1"/>
    </xf>
    <xf borderId="0" fillId="4" fontId="8" numFmtId="0" xfId="0" applyAlignment="1" applyFont="1">
      <alignment shrinkToFit="0" vertical="center" wrapText="1"/>
    </xf>
    <xf borderId="0" fillId="5" fontId="9" numFmtId="0" xfId="0" applyAlignment="1" applyFont="1">
      <alignment horizontal="center" readingOrder="0" shrinkToFit="0" vertical="center" wrapText="1"/>
    </xf>
    <xf borderId="0" fillId="3" fontId="9" numFmtId="4" xfId="0" applyAlignment="1" applyFont="1" applyNumberFormat="1">
      <alignment shrinkToFit="0" vertical="center" wrapText="1"/>
    </xf>
    <xf borderId="0" fillId="8" fontId="11" numFmtId="4" xfId="0" applyAlignment="1" applyFont="1" applyNumberFormat="1">
      <alignment horizontal="center" shrinkToFit="0" vertical="center" wrapText="1"/>
    </xf>
    <xf borderId="0" fillId="8" fontId="11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4" fontId="9" numFmtId="4" xfId="0" applyAlignment="1" applyFont="1" applyNumberFormat="1">
      <alignment shrinkToFit="0" vertical="center" wrapText="1"/>
    </xf>
    <xf borderId="0" fillId="4" fontId="2" numFmtId="0" xfId="0" applyAlignment="1" applyFont="1">
      <alignment shrinkToFit="0" vertical="center" wrapText="1"/>
    </xf>
    <xf borderId="0" fillId="4" fontId="9" numFmtId="0" xfId="0" applyAlignment="1" applyFont="1">
      <alignment shrinkToFit="0" vertical="center" wrapText="1"/>
    </xf>
    <xf borderId="0" fillId="3" fontId="9" numFmtId="0" xfId="0" applyAlignment="1" applyFont="1">
      <alignment shrinkToFit="0" vertical="center" wrapText="1"/>
    </xf>
    <xf borderId="0" fillId="7" fontId="9" numFmtId="0" xfId="0" applyAlignment="1" applyFont="1">
      <alignment horizontal="center" shrinkToFit="0" vertical="center" wrapText="1"/>
    </xf>
    <xf borderId="0" fillId="7" fontId="9" numFmtId="0" xfId="0" applyAlignment="1" applyFont="1">
      <alignment readingOrder="0" shrinkToFit="0" vertical="center" wrapText="1"/>
    </xf>
    <xf borderId="0" fillId="5" fontId="9" numFmtId="0" xfId="0" applyAlignment="1" applyFont="1">
      <alignment horizontal="center" shrinkToFit="0" vertical="center" wrapText="1"/>
    </xf>
    <xf borderId="0" fillId="5" fontId="9" numFmtId="0" xfId="0" applyAlignment="1" applyFont="1">
      <alignment horizontal="center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4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4" fontId="2" numFmtId="0" xfId="0" applyAlignment="1" applyFont="1">
      <alignment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2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rtdip-timeseries-forecasting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0" displayName="Table_4" name="Table_4" id="4">
  <tableColumns count="2">
    <tableColumn name="Goals" id="1"/>
    <tableColumn name="Aquire new skills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20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B20" displayName="Table_7" name="Table_7" id="7">
  <tableColumns count="2">
    <tableColumn name="Sprint #" id="1"/>
    <tableColumn name="Story Points Realized" id="2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1:G34" displayName="Table_8" name="Table_8" id="8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9.xml><?xml version="1.0" encoding="utf-8"?>
<table xmlns="http://schemas.openxmlformats.org/spreadsheetml/2006/main" ref="A1:G34" displayName="Table_9" name="Table_9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D20" displayName="Table_10" name="Table_10" id="10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1.xml><?xml version="1.0" encoding="utf-8"?>
<table xmlns="http://schemas.openxmlformats.org/spreadsheetml/2006/main" ref="A1:B20" displayName="Table_11" name="Table_11" id="11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2.xml><?xml version="1.0" encoding="utf-8"?>
<table xmlns="http://schemas.openxmlformats.org/spreadsheetml/2006/main" ref="A1:F20" displayName="Table_12" name="Table_12" id="12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65502405196?pwd=8H73lyixQfqKrnO8Eb47kawnuKCnGp.1" TargetMode="External"/><Relationship Id="rId2" Type="http://schemas.openxmlformats.org/officeDocument/2006/relationships/hyperlink" Target="https://github.com/amosproj/amos2025ws03-rtdip-timeseries-forecasting" TargetMode="External"/><Relationship Id="rId3" Type="http://schemas.openxmlformats.org/officeDocument/2006/relationships/hyperlink" Target="https://github.com/orgs/amosproj/projects/91/views/1" TargetMode="External"/><Relationship Id="rId4" Type="http://schemas.openxmlformats.org/officeDocument/2006/relationships/hyperlink" Target="https://github.com/orgs/amosproj/projects/96" TargetMode="External"/><Relationship Id="rId11" Type="http://schemas.openxmlformats.org/officeDocument/2006/relationships/table" Target="../tables/table1.xml"/><Relationship Id="rId9" Type="http://schemas.openxmlformats.org/officeDocument/2006/relationships/drawing" Target="../drawings/drawing1.xml"/><Relationship Id="rId5" Type="http://schemas.openxmlformats.org/officeDocument/2006/relationships/hyperlink" Target="https://www.shirtinator.de/s/hxP8hSnaRtySUDnzQlWstg" TargetMode="External"/><Relationship Id="rId6" Type="http://schemas.openxmlformats.org/officeDocument/2006/relationships/hyperlink" Target="https://www.shirtinator.de/s/8r9ZDTMpQdiFofT4Mu9cUw" TargetMode="External"/><Relationship Id="rId7" Type="http://schemas.openxmlformats.org/officeDocument/2006/relationships/hyperlink" Target="https://discord.gg/KJXGmjcs" TargetMode="External"/><Relationship Id="rId8" Type="http://schemas.openxmlformats.org/officeDocument/2006/relationships/hyperlink" Target="https://happy-amos.appspot.com/Course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3"/>
    </row>
    <row r="3">
      <c r="A3" s="4" t="s">
        <v>2</v>
      </c>
      <c r="B3" s="5" t="s">
        <v>3</v>
      </c>
    </row>
    <row r="4">
      <c r="A4" s="1"/>
      <c r="B4" s="3"/>
    </row>
    <row r="5">
      <c r="A5" s="4" t="s">
        <v>4</v>
      </c>
      <c r="B5" s="2" t="s">
        <v>5</v>
      </c>
    </row>
    <row r="6">
      <c r="A6" s="4" t="s">
        <v>6</v>
      </c>
      <c r="B6" s="2" t="s">
        <v>5</v>
      </c>
    </row>
    <row r="7">
      <c r="A7" s="1"/>
      <c r="B7" s="3"/>
    </row>
    <row r="8">
      <c r="A8" s="4" t="s">
        <v>7</v>
      </c>
      <c r="B8" s="5" t="s">
        <v>8</v>
      </c>
    </row>
    <row r="9">
      <c r="A9" s="4" t="s">
        <v>9</v>
      </c>
      <c r="B9" s="6" t="s">
        <v>10</v>
      </c>
    </row>
    <row r="10">
      <c r="A10" s="4" t="s">
        <v>11</v>
      </c>
      <c r="B10" s="7" t="s">
        <v>12</v>
      </c>
    </row>
    <row r="11">
      <c r="A11" s="1"/>
      <c r="B11" s="3"/>
    </row>
    <row r="12">
      <c r="A12" s="4" t="s">
        <v>13</v>
      </c>
      <c r="B12" s="7" t="s">
        <v>14</v>
      </c>
    </row>
    <row r="13">
      <c r="A13" s="4" t="s">
        <v>15</v>
      </c>
      <c r="B13" s="7" t="s">
        <v>16</v>
      </c>
    </row>
    <row r="14">
      <c r="A14" s="1"/>
      <c r="B14" s="3"/>
    </row>
    <row r="15">
      <c r="A15" s="1" t="s">
        <v>17</v>
      </c>
      <c r="B15" s="7" t="s">
        <v>18</v>
      </c>
    </row>
    <row r="16">
      <c r="A16" s="1"/>
      <c r="B16" s="3"/>
    </row>
    <row r="17">
      <c r="A17" s="4" t="s">
        <v>19</v>
      </c>
      <c r="B17" s="2" t="s">
        <v>20</v>
      </c>
    </row>
    <row r="18">
      <c r="A18" s="1"/>
      <c r="B18" s="3"/>
    </row>
    <row r="19">
      <c r="A19" s="8" t="s">
        <v>21</v>
      </c>
      <c r="B19" s="7" t="s">
        <v>22</v>
      </c>
    </row>
    <row r="20">
      <c r="A20" s="1"/>
      <c r="B20" s="3"/>
    </row>
  </sheetData>
  <hyperlinks>
    <hyperlink r:id="rId1" ref="B3"/>
    <hyperlink r:id="rId2" ref="B8"/>
    <hyperlink r:id="rId3" ref="B9"/>
    <hyperlink r:id="rId4" ref="B10"/>
    <hyperlink r:id="rId5" ref="B12"/>
    <hyperlink r:id="rId6" ref="B13"/>
    <hyperlink r:id="rId7" ref="B15"/>
    <hyperlink r:id="rId8" ref="B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9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9" t="s">
        <v>23</v>
      </c>
      <c r="B1" s="9" t="s">
        <v>24</v>
      </c>
      <c r="C1" s="9" t="s">
        <v>25</v>
      </c>
      <c r="D1" s="9" t="s">
        <v>26</v>
      </c>
    </row>
    <row r="2">
      <c r="A2" s="10" t="s">
        <v>27</v>
      </c>
      <c r="B2" s="10" t="s">
        <v>28</v>
      </c>
      <c r="C2" s="10" t="s">
        <v>29</v>
      </c>
      <c r="D2" s="10" t="s">
        <v>30</v>
      </c>
    </row>
    <row r="3">
      <c r="A3" s="10" t="s">
        <v>31</v>
      </c>
      <c r="B3" s="10" t="s">
        <v>32</v>
      </c>
      <c r="C3" s="10" t="s">
        <v>33</v>
      </c>
      <c r="D3" s="10" t="s">
        <v>34</v>
      </c>
    </row>
    <row r="4">
      <c r="A4" s="10" t="s">
        <v>35</v>
      </c>
      <c r="B4" s="10" t="s">
        <v>36</v>
      </c>
      <c r="C4" s="10" t="s">
        <v>37</v>
      </c>
      <c r="D4" s="10" t="s">
        <v>38</v>
      </c>
    </row>
    <row r="5">
      <c r="A5" s="10" t="s">
        <v>39</v>
      </c>
      <c r="B5" s="10" t="s">
        <v>40</v>
      </c>
      <c r="C5" s="10" t="s">
        <v>41</v>
      </c>
      <c r="D5" s="10" t="s">
        <v>42</v>
      </c>
    </row>
    <row r="6">
      <c r="A6" s="10" t="s">
        <v>43</v>
      </c>
      <c r="B6" s="10" t="s">
        <v>44</v>
      </c>
      <c r="C6" s="10" t="s">
        <v>45</v>
      </c>
      <c r="D6" s="10" t="s">
        <v>46</v>
      </c>
    </row>
    <row r="7">
      <c r="A7" s="10" t="s">
        <v>47</v>
      </c>
      <c r="B7" s="10" t="s">
        <v>48</v>
      </c>
      <c r="C7" s="10" t="s">
        <v>49</v>
      </c>
      <c r="D7" s="10" t="s">
        <v>50</v>
      </c>
    </row>
    <row r="8">
      <c r="A8" s="10" t="s">
        <v>51</v>
      </c>
      <c r="B8" s="10" t="s">
        <v>52</v>
      </c>
      <c r="C8" s="10" t="s">
        <v>53</v>
      </c>
      <c r="D8" s="10" t="s">
        <v>54</v>
      </c>
    </row>
    <row r="9">
      <c r="A9" s="10" t="s">
        <v>55</v>
      </c>
      <c r="B9" s="10" t="s">
        <v>56</v>
      </c>
      <c r="C9" s="10" t="s">
        <v>57</v>
      </c>
      <c r="D9" s="10" t="s">
        <v>58</v>
      </c>
    </row>
    <row r="10">
      <c r="A10" s="10" t="s">
        <v>59</v>
      </c>
      <c r="B10" s="10" t="s">
        <v>60</v>
      </c>
      <c r="C10" s="10" t="s">
        <v>61</v>
      </c>
      <c r="D10" s="10" t="s">
        <v>62</v>
      </c>
    </row>
    <row r="11">
      <c r="A11" s="11"/>
      <c r="B11" s="10"/>
      <c r="C11" s="11"/>
      <c r="D11" s="11"/>
    </row>
    <row r="12">
      <c r="A12" s="11"/>
      <c r="B12" s="11"/>
      <c r="C12" s="11"/>
      <c r="D12" s="11"/>
    </row>
    <row r="13">
      <c r="A13" s="9"/>
      <c r="B13" s="12"/>
      <c r="C13" s="12"/>
      <c r="D13" s="12"/>
    </row>
    <row r="14">
      <c r="A14" s="11"/>
      <c r="B14" s="10"/>
      <c r="C14" s="11"/>
      <c r="D14" s="11"/>
    </row>
    <row r="15">
      <c r="A15" s="11"/>
      <c r="B15" s="10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13"/>
      <c r="B1" s="13"/>
      <c r="C1" s="13" t="s">
        <v>63</v>
      </c>
      <c r="E1" s="13"/>
      <c r="F1" s="14"/>
      <c r="G1" s="14"/>
      <c r="H1" s="13"/>
    </row>
    <row r="2">
      <c r="A2" s="15" t="s">
        <v>64</v>
      </c>
      <c r="B2" s="15" t="s">
        <v>65</v>
      </c>
      <c r="C2" s="15" t="s">
        <v>66</v>
      </c>
      <c r="D2" s="15" t="s">
        <v>67</v>
      </c>
      <c r="E2" s="15" t="s">
        <v>68</v>
      </c>
      <c r="F2" s="16" t="s">
        <v>69</v>
      </c>
      <c r="G2" s="16" t="s">
        <v>70</v>
      </c>
      <c r="H2" s="15" t="s">
        <v>71</v>
      </c>
    </row>
    <row r="3">
      <c r="A3" s="17">
        <v>1.0</v>
      </c>
      <c r="B3" s="18">
        <v>45945.0</v>
      </c>
      <c r="C3" s="10" t="s">
        <v>72</v>
      </c>
      <c r="D3" s="10" t="s">
        <v>73</v>
      </c>
      <c r="E3" s="10" t="s">
        <v>74</v>
      </c>
      <c r="F3" s="10" t="s">
        <v>75</v>
      </c>
      <c r="G3" s="10" t="s">
        <v>28</v>
      </c>
      <c r="H3" s="19"/>
    </row>
    <row r="4">
      <c r="A4" s="17">
        <v>2.0</v>
      </c>
      <c r="B4" s="20">
        <f t="shared" ref="B4:B11" si="1">B3+7</f>
        <v>45952</v>
      </c>
      <c r="C4" s="10" t="s">
        <v>73</v>
      </c>
      <c r="D4" s="10" t="s">
        <v>72</v>
      </c>
      <c r="E4" s="10" t="s">
        <v>74</v>
      </c>
      <c r="F4" s="10" t="s">
        <v>40</v>
      </c>
      <c r="G4" s="10" t="s">
        <v>28</v>
      </c>
      <c r="H4" s="19"/>
    </row>
    <row r="5">
      <c r="A5" s="17">
        <v>3.0</v>
      </c>
      <c r="B5" s="20">
        <f t="shared" si="1"/>
        <v>45959</v>
      </c>
      <c r="C5" s="10" t="s">
        <v>72</v>
      </c>
      <c r="D5" s="10" t="s">
        <v>73</v>
      </c>
      <c r="E5" s="10" t="s">
        <v>74</v>
      </c>
      <c r="F5" s="10" t="s">
        <v>76</v>
      </c>
      <c r="G5" s="10" t="s">
        <v>28</v>
      </c>
      <c r="H5" s="19"/>
    </row>
    <row r="6">
      <c r="A6" s="17">
        <v>4.0</v>
      </c>
      <c r="B6" s="20">
        <f t="shared" si="1"/>
        <v>45966</v>
      </c>
      <c r="C6" s="10" t="s">
        <v>73</v>
      </c>
      <c r="D6" s="10" t="s">
        <v>72</v>
      </c>
      <c r="E6" s="10" t="s">
        <v>74</v>
      </c>
      <c r="F6" s="10" t="s">
        <v>77</v>
      </c>
      <c r="G6" s="10" t="s">
        <v>28</v>
      </c>
      <c r="H6" s="19"/>
    </row>
    <row r="7">
      <c r="A7" s="17">
        <v>5.0</v>
      </c>
      <c r="B7" s="20">
        <f t="shared" si="1"/>
        <v>45973</v>
      </c>
      <c r="C7" s="10" t="s">
        <v>72</v>
      </c>
      <c r="D7" s="10" t="s">
        <v>73</v>
      </c>
      <c r="E7" s="10" t="s">
        <v>74</v>
      </c>
      <c r="F7" s="10" t="s">
        <v>78</v>
      </c>
      <c r="G7" s="10" t="s">
        <v>28</v>
      </c>
      <c r="H7" s="19"/>
    </row>
    <row r="8">
      <c r="A8" s="17">
        <v>6.0</v>
      </c>
      <c r="B8" s="20">
        <f t="shared" si="1"/>
        <v>45980</v>
      </c>
      <c r="C8" s="10" t="s">
        <v>73</v>
      </c>
      <c r="D8" s="10" t="s">
        <v>72</v>
      </c>
      <c r="E8" s="10" t="s">
        <v>74</v>
      </c>
      <c r="F8" s="21" t="s">
        <v>79</v>
      </c>
      <c r="G8" s="10" t="s">
        <v>28</v>
      </c>
      <c r="H8" s="19"/>
    </row>
    <row r="9">
      <c r="A9" s="17">
        <v>7.0</v>
      </c>
      <c r="B9" s="20">
        <f t="shared" si="1"/>
        <v>45987</v>
      </c>
      <c r="C9" s="10" t="s">
        <v>72</v>
      </c>
      <c r="D9" s="10" t="s">
        <v>73</v>
      </c>
      <c r="E9" s="10" t="s">
        <v>74</v>
      </c>
      <c r="F9" s="10" t="s">
        <v>80</v>
      </c>
      <c r="G9" s="10" t="s">
        <v>28</v>
      </c>
      <c r="H9" s="22" t="s">
        <v>81</v>
      </c>
    </row>
    <row r="10">
      <c r="A10" s="17">
        <v>8.0</v>
      </c>
      <c r="B10" s="20">
        <f t="shared" si="1"/>
        <v>45994</v>
      </c>
      <c r="C10" s="10" t="s">
        <v>73</v>
      </c>
      <c r="D10" s="10" t="s">
        <v>72</v>
      </c>
      <c r="E10" s="10" t="s">
        <v>74</v>
      </c>
      <c r="F10" s="10" t="s">
        <v>77</v>
      </c>
      <c r="G10" s="10" t="s">
        <v>28</v>
      </c>
      <c r="H10" s="19"/>
    </row>
    <row r="11">
      <c r="A11" s="17">
        <v>9.0</v>
      </c>
      <c r="B11" s="20">
        <f t="shared" si="1"/>
        <v>46001</v>
      </c>
      <c r="C11" s="10" t="s">
        <v>72</v>
      </c>
      <c r="D11" s="10" t="s">
        <v>73</v>
      </c>
      <c r="E11" s="10" t="s">
        <v>74</v>
      </c>
      <c r="F11" s="10" t="s">
        <v>76</v>
      </c>
      <c r="G11" s="10" t="s">
        <v>28</v>
      </c>
      <c r="H11" s="19"/>
    </row>
    <row r="12">
      <c r="A12" s="17">
        <v>10.0</v>
      </c>
      <c r="B12" s="18">
        <v>46033.0</v>
      </c>
      <c r="C12" s="10" t="s">
        <v>73</v>
      </c>
      <c r="D12" s="10" t="s">
        <v>72</v>
      </c>
      <c r="E12" s="10" t="s">
        <v>74</v>
      </c>
      <c r="F12" s="10" t="s">
        <v>78</v>
      </c>
      <c r="G12" s="10" t="s">
        <v>28</v>
      </c>
      <c r="H12" s="19"/>
    </row>
    <row r="13">
      <c r="A13" s="17">
        <v>11.0</v>
      </c>
      <c r="B13" s="20">
        <f t="shared" ref="B13:B17" si="2">B12+7</f>
        <v>46040</v>
      </c>
      <c r="C13" s="10" t="s">
        <v>72</v>
      </c>
      <c r="D13" s="10" t="s">
        <v>73</v>
      </c>
      <c r="E13" s="10" t="s">
        <v>74</v>
      </c>
      <c r="F13" s="21" t="s">
        <v>79</v>
      </c>
      <c r="G13" s="10" t="s">
        <v>28</v>
      </c>
      <c r="H13" s="19"/>
    </row>
    <row r="14">
      <c r="A14" s="17">
        <v>12.0</v>
      </c>
      <c r="B14" s="20">
        <f t="shared" si="2"/>
        <v>46047</v>
      </c>
      <c r="C14" s="10" t="s">
        <v>73</v>
      </c>
      <c r="D14" s="10" t="s">
        <v>72</v>
      </c>
      <c r="E14" s="10" t="s">
        <v>74</v>
      </c>
      <c r="F14" s="10" t="s">
        <v>80</v>
      </c>
      <c r="G14" s="10" t="s">
        <v>28</v>
      </c>
      <c r="H14" s="19"/>
    </row>
    <row r="15">
      <c r="A15" s="17">
        <v>13.0</v>
      </c>
      <c r="B15" s="20">
        <f t="shared" si="2"/>
        <v>46054</v>
      </c>
      <c r="C15" s="10" t="s">
        <v>72</v>
      </c>
      <c r="D15" s="10" t="s">
        <v>73</v>
      </c>
      <c r="E15" s="10" t="s">
        <v>74</v>
      </c>
      <c r="F15" s="10" t="s">
        <v>76</v>
      </c>
      <c r="G15" s="10" t="s">
        <v>28</v>
      </c>
      <c r="H15" s="19"/>
    </row>
    <row r="16">
      <c r="A16" s="17">
        <v>14.0</v>
      </c>
      <c r="B16" s="20">
        <f t="shared" si="2"/>
        <v>46061</v>
      </c>
      <c r="C16" s="10" t="s">
        <v>73</v>
      </c>
      <c r="D16" s="10" t="s">
        <v>72</v>
      </c>
      <c r="E16" s="10" t="s">
        <v>74</v>
      </c>
      <c r="F16" s="10" t="s">
        <v>40</v>
      </c>
      <c r="G16" s="10" t="s">
        <v>28</v>
      </c>
      <c r="H16" s="22" t="s">
        <v>82</v>
      </c>
    </row>
    <row r="17">
      <c r="A17" s="17">
        <v>15.0</v>
      </c>
      <c r="B17" s="20">
        <f t="shared" si="2"/>
        <v>46068</v>
      </c>
      <c r="C17" s="10" t="s">
        <v>72</v>
      </c>
      <c r="D17" s="10" t="s">
        <v>73</v>
      </c>
      <c r="E17" s="10" t="s">
        <v>74</v>
      </c>
      <c r="F17" s="21" t="s">
        <v>79</v>
      </c>
      <c r="G17" s="10" t="s">
        <v>28</v>
      </c>
      <c r="H17" s="22" t="s">
        <v>83</v>
      </c>
    </row>
    <row r="18">
      <c r="A18" s="17"/>
      <c r="B18" s="23"/>
      <c r="C18" s="11"/>
      <c r="D18" s="11"/>
      <c r="E18" s="11"/>
      <c r="F18" s="11"/>
      <c r="G18" s="11"/>
      <c r="H18" s="24"/>
    </row>
    <row r="19">
      <c r="A19" s="22" t="s">
        <v>84</v>
      </c>
      <c r="B19" s="25"/>
      <c r="C19" s="26"/>
      <c r="D19" s="26"/>
      <c r="E19" s="26"/>
      <c r="F19" s="26"/>
      <c r="G19" s="26"/>
      <c r="H19" s="24"/>
    </row>
    <row r="20">
      <c r="A20" s="26"/>
      <c r="B20" s="23"/>
      <c r="C20" s="11"/>
      <c r="D20" s="11"/>
      <c r="E20" s="11"/>
      <c r="F20" s="11"/>
      <c r="G20" s="11"/>
      <c r="H20" s="24"/>
    </row>
    <row r="21">
      <c r="A21" s="17"/>
      <c r="B21" s="23"/>
      <c r="C21" s="11"/>
      <c r="D21" s="11"/>
      <c r="E21" s="11"/>
      <c r="F21" s="11"/>
      <c r="G21" s="27"/>
      <c r="H21" s="24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28" t="s">
        <v>85</v>
      </c>
      <c r="B1" s="29" t="s">
        <v>86</v>
      </c>
    </row>
    <row r="2">
      <c r="A2" s="30"/>
      <c r="B2" s="31" t="s">
        <v>87</v>
      </c>
    </row>
    <row r="3">
      <c r="A3" s="32" t="s">
        <v>88</v>
      </c>
      <c r="B3" s="29" t="s">
        <v>89</v>
      </c>
    </row>
    <row r="4">
      <c r="A4" s="30"/>
      <c r="B4" s="31" t="s">
        <v>90</v>
      </c>
    </row>
    <row r="5">
      <c r="A5" s="32" t="s">
        <v>91</v>
      </c>
      <c r="B5" s="29" t="s">
        <v>92</v>
      </c>
    </row>
    <row r="6">
      <c r="A6" s="30"/>
      <c r="B6" s="31" t="s">
        <v>93</v>
      </c>
    </row>
    <row r="7">
      <c r="A7" s="32" t="s">
        <v>94</v>
      </c>
      <c r="B7" s="29" t="s">
        <v>95</v>
      </c>
    </row>
    <row r="8">
      <c r="A8" s="30"/>
      <c r="B8" s="31" t="s">
        <v>96</v>
      </c>
    </row>
    <row r="9">
      <c r="A9" s="32" t="s">
        <v>97</v>
      </c>
      <c r="B9" s="29" t="s">
        <v>98</v>
      </c>
    </row>
    <row r="10">
      <c r="A10" s="30"/>
      <c r="B10" s="31" t="s">
        <v>99</v>
      </c>
    </row>
    <row r="11">
      <c r="A11" s="32" t="s">
        <v>100</v>
      </c>
      <c r="B11" s="29" t="s">
        <v>101</v>
      </c>
    </row>
    <row r="12">
      <c r="A12" s="33"/>
      <c r="B12" s="31" t="s">
        <v>102</v>
      </c>
    </row>
    <row r="13">
      <c r="A13" s="32" t="s">
        <v>103</v>
      </c>
      <c r="B13" s="29" t="s">
        <v>104</v>
      </c>
    </row>
    <row r="14">
      <c r="A14" s="33"/>
      <c r="B14" s="31" t="s">
        <v>105</v>
      </c>
    </row>
    <row r="15">
      <c r="A15" s="34" t="s">
        <v>106</v>
      </c>
      <c r="B15" s="29" t="s">
        <v>107</v>
      </c>
    </row>
    <row r="16">
      <c r="A16" s="33"/>
      <c r="B16" s="33"/>
    </row>
    <row r="17">
      <c r="A17" s="34" t="s">
        <v>108</v>
      </c>
      <c r="B17" s="29" t="s">
        <v>109</v>
      </c>
    </row>
    <row r="18">
      <c r="A18" s="33"/>
      <c r="B18" s="33"/>
    </row>
    <row r="19">
      <c r="A19" s="32" t="s">
        <v>110</v>
      </c>
      <c r="B19" s="34"/>
    </row>
    <row r="21">
      <c r="A21" s="35" t="s">
        <v>70</v>
      </c>
      <c r="B21" s="21" t="s">
        <v>111</v>
      </c>
    </row>
    <row r="22">
      <c r="A22" s="35" t="s">
        <v>112</v>
      </c>
      <c r="B22" s="21" t="s">
        <v>72</v>
      </c>
    </row>
    <row r="23">
      <c r="A23" s="35" t="s">
        <v>112</v>
      </c>
      <c r="B23" s="21" t="s">
        <v>73</v>
      </c>
    </row>
    <row r="24">
      <c r="A24" s="35" t="s">
        <v>113</v>
      </c>
      <c r="B24" s="21" t="s">
        <v>78</v>
      </c>
    </row>
    <row r="25">
      <c r="A25" s="35" t="s">
        <v>113</v>
      </c>
      <c r="B25" s="21" t="s">
        <v>77</v>
      </c>
    </row>
    <row r="26">
      <c r="A26" s="35" t="s">
        <v>113</v>
      </c>
      <c r="B26" s="21" t="s">
        <v>80</v>
      </c>
    </row>
    <row r="27">
      <c r="A27" s="35" t="s">
        <v>113</v>
      </c>
      <c r="B27" s="21" t="s">
        <v>79</v>
      </c>
    </row>
    <row r="28">
      <c r="A28" s="35" t="s">
        <v>113</v>
      </c>
      <c r="B28" s="21" t="s">
        <v>114</v>
      </c>
    </row>
    <row r="29">
      <c r="A29" s="35" t="s">
        <v>113</v>
      </c>
      <c r="B29" s="21" t="s">
        <v>115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36" t="s">
        <v>116</v>
      </c>
      <c r="B1" s="36" t="s">
        <v>117</v>
      </c>
    </row>
    <row r="2">
      <c r="A2" s="37"/>
      <c r="B2" s="38"/>
    </row>
    <row r="3">
      <c r="A3" s="39" t="s">
        <v>118</v>
      </c>
      <c r="B3" s="39" t="s">
        <v>119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0" t="s">
        <v>120</v>
      </c>
      <c r="B1" s="40" t="s">
        <v>121</v>
      </c>
    </row>
    <row r="2">
      <c r="A2" s="3"/>
      <c r="B2" s="3"/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41" t="s">
        <v>122</v>
      </c>
      <c r="B1" s="4" t="s">
        <v>123</v>
      </c>
    </row>
    <row r="2">
      <c r="A2" s="42">
        <v>1.0</v>
      </c>
      <c r="B2" s="2" t="s">
        <v>124</v>
      </c>
    </row>
    <row r="3">
      <c r="A3" s="42">
        <f t="shared" ref="A3:A16" si="1">A2+1</f>
        <v>2</v>
      </c>
      <c r="B3" s="2" t="s">
        <v>124</v>
      </c>
    </row>
    <row r="4">
      <c r="A4" s="42">
        <f t="shared" si="1"/>
        <v>3</v>
      </c>
      <c r="B4" s="2" t="s">
        <v>124</v>
      </c>
    </row>
    <row r="5">
      <c r="A5" s="42">
        <f t="shared" si="1"/>
        <v>4</v>
      </c>
      <c r="B5" s="21" t="s">
        <v>125</v>
      </c>
    </row>
    <row r="6">
      <c r="A6" s="42">
        <f t="shared" si="1"/>
        <v>5</v>
      </c>
      <c r="B6" s="2" t="s">
        <v>126</v>
      </c>
    </row>
    <row r="7">
      <c r="A7" s="42">
        <f t="shared" si="1"/>
        <v>6</v>
      </c>
      <c r="B7" s="3"/>
    </row>
    <row r="8">
      <c r="A8" s="42">
        <f t="shared" si="1"/>
        <v>7</v>
      </c>
      <c r="B8" s="3"/>
    </row>
    <row r="9">
      <c r="A9" s="42">
        <f t="shared" si="1"/>
        <v>8</v>
      </c>
      <c r="B9" s="3"/>
    </row>
    <row r="10">
      <c r="A10" s="42">
        <f t="shared" si="1"/>
        <v>9</v>
      </c>
      <c r="B10" s="3"/>
    </row>
    <row r="11">
      <c r="A11" s="42">
        <f t="shared" si="1"/>
        <v>10</v>
      </c>
      <c r="B11" s="3"/>
    </row>
    <row r="12">
      <c r="A12" s="42">
        <f t="shared" si="1"/>
        <v>11</v>
      </c>
      <c r="B12" s="3"/>
    </row>
    <row r="13">
      <c r="A13" s="42">
        <f t="shared" si="1"/>
        <v>12</v>
      </c>
      <c r="B13" s="3"/>
    </row>
    <row r="14">
      <c r="A14" s="42">
        <f t="shared" si="1"/>
        <v>13</v>
      </c>
      <c r="B14" s="3"/>
    </row>
    <row r="15">
      <c r="A15" s="42">
        <f t="shared" si="1"/>
        <v>14</v>
      </c>
      <c r="B15" s="3"/>
    </row>
    <row r="16">
      <c r="A16" s="42">
        <f t="shared" si="1"/>
        <v>15</v>
      </c>
      <c r="B16" s="3"/>
    </row>
    <row r="17">
      <c r="A17" s="42"/>
      <c r="B17" s="3"/>
    </row>
    <row r="18">
      <c r="A18" s="42"/>
      <c r="B18" s="3"/>
    </row>
    <row r="19">
      <c r="A19" s="43"/>
      <c r="B19" s="3"/>
    </row>
    <row r="20">
      <c r="A20" s="43"/>
      <c r="B20" s="3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41" t="s">
        <v>122</v>
      </c>
      <c r="B1" s="4" t="s">
        <v>127</v>
      </c>
    </row>
    <row r="2">
      <c r="A2" s="42">
        <v>1.0</v>
      </c>
      <c r="B2" s="2"/>
    </row>
    <row r="3">
      <c r="A3" s="42">
        <f t="shared" ref="A3:A16" si="1">A2+1</f>
        <v>2</v>
      </c>
      <c r="B3" s="2"/>
    </row>
    <row r="4">
      <c r="A4" s="42">
        <f t="shared" si="1"/>
        <v>3</v>
      </c>
      <c r="B4" s="2"/>
    </row>
    <row r="5">
      <c r="A5" s="42">
        <f t="shared" si="1"/>
        <v>4</v>
      </c>
    </row>
    <row r="6">
      <c r="A6" s="42">
        <f t="shared" si="1"/>
        <v>5</v>
      </c>
      <c r="B6" s="2"/>
    </row>
    <row r="7">
      <c r="A7" s="42">
        <f t="shared" si="1"/>
        <v>6</v>
      </c>
      <c r="B7" s="3"/>
    </row>
    <row r="8">
      <c r="A8" s="42">
        <f t="shared" si="1"/>
        <v>7</v>
      </c>
      <c r="B8" s="3"/>
    </row>
    <row r="9">
      <c r="A9" s="42">
        <f t="shared" si="1"/>
        <v>8</v>
      </c>
      <c r="B9" s="3"/>
    </row>
    <row r="10">
      <c r="A10" s="42">
        <f t="shared" si="1"/>
        <v>9</v>
      </c>
      <c r="B10" s="3"/>
    </row>
    <row r="11">
      <c r="A11" s="42">
        <f t="shared" si="1"/>
        <v>10</v>
      </c>
      <c r="B11" s="3"/>
    </row>
    <row r="12">
      <c r="A12" s="42">
        <f t="shared" si="1"/>
        <v>11</v>
      </c>
      <c r="B12" s="3"/>
    </row>
    <row r="13">
      <c r="A13" s="42">
        <f t="shared" si="1"/>
        <v>12</v>
      </c>
      <c r="B13" s="3"/>
    </row>
    <row r="14">
      <c r="A14" s="42">
        <f t="shared" si="1"/>
        <v>13</v>
      </c>
      <c r="B14" s="3"/>
    </row>
    <row r="15">
      <c r="A15" s="42">
        <f t="shared" si="1"/>
        <v>14</v>
      </c>
      <c r="B15" s="3"/>
    </row>
    <row r="16">
      <c r="A16" s="42">
        <f t="shared" si="1"/>
        <v>15</v>
      </c>
      <c r="B16" s="3"/>
    </row>
    <row r="17">
      <c r="A17" s="42"/>
      <c r="B17" s="3"/>
    </row>
    <row r="18">
      <c r="A18" s="42"/>
      <c r="B18" s="44" t="s">
        <v>128</v>
      </c>
    </row>
    <row r="19">
      <c r="A19" s="43"/>
      <c r="B19" s="3"/>
    </row>
    <row r="20">
      <c r="A20" s="43"/>
      <c r="B20" s="3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45" t="s">
        <v>129</v>
      </c>
      <c r="B1" s="46" t="s">
        <v>130</v>
      </c>
      <c r="C1" s="47" t="s">
        <v>131</v>
      </c>
      <c r="D1" s="48" t="s">
        <v>132</v>
      </c>
      <c r="E1" s="48" t="s">
        <v>133</v>
      </c>
      <c r="F1" s="48" t="s">
        <v>134</v>
      </c>
      <c r="G1" s="48" t="s">
        <v>135</v>
      </c>
    </row>
    <row r="2">
      <c r="A2" s="49"/>
      <c r="B2" s="50"/>
      <c r="C2" s="51"/>
      <c r="D2" s="51"/>
      <c r="E2" s="51"/>
      <c r="F2" s="51"/>
      <c r="G2" s="51"/>
    </row>
    <row r="3">
      <c r="A3" s="52" t="s">
        <v>136</v>
      </c>
      <c r="B3" s="53"/>
      <c r="C3" s="54"/>
      <c r="D3" s="54"/>
      <c r="E3" s="54"/>
      <c r="F3" s="54"/>
      <c r="G3" s="54"/>
    </row>
    <row r="4">
      <c r="A4" s="49"/>
      <c r="B4" s="50"/>
      <c r="C4" s="51"/>
      <c r="D4" s="51"/>
      <c r="E4" s="51"/>
      <c r="F4" s="51"/>
      <c r="G4" s="51"/>
    </row>
    <row r="5">
      <c r="A5" s="55" t="s">
        <v>137</v>
      </c>
      <c r="B5" s="56"/>
      <c r="C5" s="33"/>
      <c r="D5" s="57">
        <f>sum(D8:D13)</f>
        <v>0</v>
      </c>
      <c r="E5" s="57">
        <f>D5</f>
        <v>0</v>
      </c>
      <c r="F5" s="33"/>
      <c r="G5" s="33"/>
    </row>
    <row r="6">
      <c r="A6" s="49"/>
      <c r="B6" s="50"/>
      <c r="C6" s="51"/>
      <c r="D6" s="51"/>
      <c r="E6" s="51"/>
      <c r="F6" s="51"/>
      <c r="G6" s="51"/>
    </row>
    <row r="7">
      <c r="A7" s="58" t="s">
        <v>138</v>
      </c>
      <c r="B7" s="59"/>
      <c r="C7" s="60"/>
      <c r="D7" s="60"/>
      <c r="E7" s="60"/>
      <c r="F7" s="60"/>
      <c r="G7" s="60"/>
    </row>
    <row r="8">
      <c r="A8" s="49"/>
      <c r="B8" s="50"/>
      <c r="C8" s="51"/>
      <c r="D8" s="51"/>
      <c r="E8" s="61" t="s">
        <v>139</v>
      </c>
      <c r="F8" s="51"/>
      <c r="G8" s="61" t="s">
        <v>140</v>
      </c>
    </row>
    <row r="9">
      <c r="A9" s="62">
        <v>1.0</v>
      </c>
      <c r="B9" s="55"/>
      <c r="C9" s="33"/>
      <c r="D9" s="57">
        <f>sum(D16:D21)</f>
        <v>0</v>
      </c>
      <c r="E9" s="57">
        <f>$D$5</f>
        <v>0</v>
      </c>
      <c r="F9" s="57">
        <f>sum(F16:F21)</f>
        <v>0</v>
      </c>
      <c r="G9" s="57">
        <f>$D$5</f>
        <v>0</v>
      </c>
    </row>
    <row r="10">
      <c r="A10" s="49">
        <f t="shared" ref="A10:A11" si="1">A9+1</f>
        <v>2</v>
      </c>
      <c r="B10" s="50"/>
      <c r="C10" s="51"/>
      <c r="D10" s="63">
        <f>sum(D22:D27)</f>
        <v>0</v>
      </c>
      <c r="E10" s="63">
        <f t="shared" ref="E10:E12" si="2">E9-D9</f>
        <v>0</v>
      </c>
      <c r="F10" s="63">
        <f>sum(F22:F27)</f>
        <v>0</v>
      </c>
      <c r="G10" s="63">
        <f t="shared" ref="G10:G12" si="3">G9-F9</f>
        <v>0</v>
      </c>
    </row>
    <row r="11">
      <c r="A11" s="62">
        <f t="shared" si="1"/>
        <v>3</v>
      </c>
      <c r="B11" s="55"/>
      <c r="C11" s="33"/>
      <c r="D11" s="57">
        <f>sum(D28:D33)</f>
        <v>0</v>
      </c>
      <c r="E11" s="57">
        <f t="shared" si="2"/>
        <v>0</v>
      </c>
      <c r="F11" s="57">
        <f>sum(F28:F33)</f>
        <v>0</v>
      </c>
      <c r="G11" s="57">
        <f t="shared" si="3"/>
        <v>0</v>
      </c>
    </row>
    <row r="12">
      <c r="A12" s="64" t="s">
        <v>141</v>
      </c>
      <c r="B12" s="65"/>
      <c r="C12" s="51"/>
      <c r="D12" s="51"/>
      <c r="E12" s="63">
        <f t="shared" si="2"/>
        <v>0</v>
      </c>
      <c r="F12" s="51"/>
      <c r="G12" s="63">
        <f t="shared" si="3"/>
        <v>0</v>
      </c>
    </row>
    <row r="13">
      <c r="A13" s="62"/>
      <c r="B13" s="55"/>
      <c r="C13" s="33"/>
      <c r="D13" s="33"/>
      <c r="E13" s="33"/>
      <c r="F13" s="33"/>
      <c r="G13" s="33"/>
    </row>
    <row r="14">
      <c r="A14" s="66" t="s">
        <v>142</v>
      </c>
      <c r="B14" s="67"/>
      <c r="C14" s="68"/>
      <c r="D14" s="68"/>
      <c r="E14" s="68"/>
      <c r="F14" s="68"/>
      <c r="G14" s="68"/>
    </row>
    <row r="15">
      <c r="A15" s="62"/>
      <c r="B15" s="55"/>
      <c r="C15" s="33"/>
      <c r="D15" s="33"/>
      <c r="E15" s="33"/>
      <c r="F15" s="33"/>
      <c r="G15" s="33"/>
    </row>
    <row r="16">
      <c r="A16" s="69">
        <f t="shared" ref="A16:B16" si="4">A9</f>
        <v>1</v>
      </c>
      <c r="B16" s="70" t="str">
        <f t="shared" si="4"/>
        <v/>
      </c>
      <c r="C16" s="51"/>
      <c r="D16" s="51"/>
      <c r="E16" s="51"/>
      <c r="F16" s="51"/>
      <c r="G16" s="51"/>
    </row>
    <row r="17">
      <c r="A17" s="62"/>
      <c r="B17" s="71"/>
      <c r="C17" s="33"/>
      <c r="D17" s="33"/>
      <c r="E17" s="33"/>
      <c r="F17" s="33"/>
      <c r="G17" s="33"/>
    </row>
    <row r="18">
      <c r="A18" s="49"/>
      <c r="B18" s="50"/>
      <c r="C18" s="65"/>
      <c r="D18" s="72"/>
      <c r="E18" s="50"/>
      <c r="F18" s="72"/>
      <c r="G18" s="50"/>
    </row>
    <row r="19">
      <c r="A19" s="62"/>
      <c r="B19" s="71"/>
      <c r="C19" s="33"/>
      <c r="D19" s="57"/>
      <c r="E19" s="33"/>
      <c r="F19" s="57"/>
      <c r="G19" s="33"/>
    </row>
    <row r="20">
      <c r="A20" s="73"/>
      <c r="B20" s="65"/>
      <c r="C20" s="65"/>
      <c r="D20" s="63"/>
      <c r="E20" s="65"/>
      <c r="F20" s="63"/>
      <c r="G20" s="65"/>
    </row>
    <row r="21">
      <c r="A21" s="62"/>
      <c r="B21" s="71"/>
      <c r="C21" s="33"/>
      <c r="D21" s="57"/>
      <c r="E21" s="33"/>
      <c r="F21" s="57"/>
      <c r="G21" s="33"/>
    </row>
    <row r="22">
      <c r="A22" s="69">
        <f t="shared" ref="A22:B22" si="5">A10</f>
        <v>2</v>
      </c>
      <c r="B22" s="70" t="str">
        <f t="shared" si="5"/>
        <v/>
      </c>
      <c r="C22" s="51"/>
      <c r="D22" s="51"/>
      <c r="E22" s="51"/>
      <c r="F22" s="51"/>
      <c r="G22" s="51"/>
    </row>
    <row r="23">
      <c r="A23" s="62"/>
      <c r="B23" s="71"/>
      <c r="C23" s="33"/>
      <c r="D23" s="33"/>
      <c r="E23" s="33"/>
      <c r="F23" s="33"/>
      <c r="G23" s="33"/>
    </row>
    <row r="24">
      <c r="A24" s="73"/>
      <c r="B24" s="65"/>
      <c r="C24" s="65"/>
      <c r="D24" s="63"/>
      <c r="E24" s="65"/>
      <c r="F24" s="63"/>
      <c r="G24" s="65"/>
    </row>
    <row r="25">
      <c r="A25" s="62"/>
      <c r="B25" s="71"/>
      <c r="C25" s="33"/>
      <c r="D25" s="57"/>
      <c r="E25" s="33"/>
      <c r="F25" s="57"/>
      <c r="G25" s="33"/>
    </row>
    <row r="26">
      <c r="A26" s="73"/>
      <c r="B26" s="65"/>
      <c r="C26" s="65"/>
      <c r="D26" s="63"/>
      <c r="E26" s="65"/>
      <c r="F26" s="63"/>
      <c r="G26" s="65"/>
    </row>
    <row r="27">
      <c r="A27" s="62"/>
      <c r="B27" s="71"/>
      <c r="C27" s="33"/>
      <c r="D27" s="57"/>
      <c r="E27" s="33"/>
      <c r="F27" s="57"/>
      <c r="G27" s="33"/>
    </row>
    <row r="28">
      <c r="A28" s="69">
        <f t="shared" ref="A28:B28" si="6">A11</f>
        <v>3</v>
      </c>
      <c r="B28" s="70" t="str">
        <f t="shared" si="6"/>
        <v/>
      </c>
      <c r="C28" s="51"/>
      <c r="D28" s="51"/>
      <c r="E28" s="51"/>
      <c r="F28" s="51"/>
      <c r="G28" s="51"/>
    </row>
    <row r="29">
      <c r="A29" s="62"/>
      <c r="B29" s="71"/>
      <c r="C29" s="33"/>
      <c r="D29" s="33"/>
      <c r="E29" s="33"/>
      <c r="F29" s="33"/>
      <c r="G29" s="33"/>
    </row>
    <row r="30">
      <c r="A30" s="73"/>
      <c r="B30" s="65"/>
      <c r="C30" s="65"/>
      <c r="D30" s="63"/>
      <c r="E30" s="65"/>
      <c r="F30" s="65"/>
      <c r="G30" s="65"/>
    </row>
    <row r="31">
      <c r="A31" s="62"/>
      <c r="B31" s="71"/>
      <c r="C31" s="33"/>
      <c r="D31" s="57"/>
      <c r="E31" s="33"/>
      <c r="F31" s="33"/>
      <c r="G31" s="33"/>
    </row>
    <row r="32">
      <c r="A32" s="73"/>
      <c r="B32" s="65"/>
      <c r="C32" s="51"/>
      <c r="D32" s="63"/>
      <c r="E32" s="65"/>
      <c r="F32" s="65"/>
      <c r="G32" s="65"/>
    </row>
    <row r="33">
      <c r="A33" s="62"/>
      <c r="B33" s="71"/>
      <c r="C33" s="74" t="s">
        <v>143</v>
      </c>
      <c r="D33" s="57"/>
      <c r="E33" s="33"/>
      <c r="F33" s="33"/>
      <c r="G33" s="33"/>
    </row>
    <row r="34">
      <c r="A34" s="73"/>
      <c r="B34" s="65"/>
      <c r="C34" s="51"/>
      <c r="D34" s="51"/>
      <c r="E34" s="51"/>
      <c r="F34" s="51"/>
      <c r="G34" s="51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45" t="s">
        <v>129</v>
      </c>
      <c r="B1" s="75" t="s">
        <v>130</v>
      </c>
      <c r="C1" s="47" t="s">
        <v>131</v>
      </c>
      <c r="D1" s="48" t="s">
        <v>132</v>
      </c>
      <c r="E1" s="48" t="s">
        <v>133</v>
      </c>
      <c r="F1" s="48" t="s">
        <v>134</v>
      </c>
      <c r="G1" s="48" t="s">
        <v>135</v>
      </c>
    </row>
    <row r="2">
      <c r="A2" s="49"/>
      <c r="B2" s="51"/>
      <c r="C2" s="51"/>
      <c r="D2" s="51"/>
      <c r="E2" s="51"/>
      <c r="F2" s="51"/>
      <c r="G2" s="51"/>
    </row>
    <row r="3">
      <c r="A3" s="52" t="s">
        <v>136</v>
      </c>
      <c r="B3" s="54"/>
      <c r="C3" s="54"/>
      <c r="D3" s="54"/>
      <c r="E3" s="54"/>
      <c r="F3" s="54"/>
      <c r="G3" s="54"/>
    </row>
    <row r="4">
      <c r="A4" s="49"/>
      <c r="B4" s="51"/>
      <c r="C4" s="51"/>
      <c r="D4" s="51"/>
      <c r="E4" s="51"/>
      <c r="F4" s="51"/>
      <c r="G4" s="51"/>
    </row>
    <row r="5">
      <c r="A5" s="55" t="s">
        <v>137</v>
      </c>
      <c r="B5" s="33"/>
      <c r="C5" s="33"/>
      <c r="D5" s="57">
        <f>sum(D8:D13)</f>
        <v>0</v>
      </c>
      <c r="E5" s="57">
        <f>D5</f>
        <v>0</v>
      </c>
      <c r="F5" s="33"/>
      <c r="G5" s="33"/>
    </row>
    <row r="6">
      <c r="A6" s="49"/>
      <c r="B6" s="51"/>
      <c r="C6" s="51"/>
      <c r="D6" s="51"/>
      <c r="E6" s="51"/>
      <c r="F6" s="51"/>
      <c r="G6" s="51"/>
    </row>
    <row r="7">
      <c r="A7" s="58" t="s">
        <v>138</v>
      </c>
      <c r="B7" s="76"/>
      <c r="C7" s="60"/>
      <c r="D7" s="60"/>
      <c r="E7" s="60"/>
      <c r="F7" s="60"/>
      <c r="G7" s="60"/>
    </row>
    <row r="8">
      <c r="A8" s="49"/>
      <c r="B8" s="51"/>
      <c r="C8" s="51"/>
      <c r="D8" s="51"/>
      <c r="E8" s="61" t="s">
        <v>139</v>
      </c>
      <c r="F8" s="51"/>
      <c r="G8" s="61" t="s">
        <v>140</v>
      </c>
    </row>
    <row r="9">
      <c r="A9" s="62">
        <v>1.0</v>
      </c>
      <c r="B9" s="33"/>
      <c r="C9" s="33"/>
      <c r="D9" s="57">
        <f>sum(D16:D21)</f>
        <v>0</v>
      </c>
      <c r="E9" s="57">
        <f>$D$5</f>
        <v>0</v>
      </c>
      <c r="F9" s="57">
        <f>sum(F16:F21)</f>
        <v>0</v>
      </c>
      <c r="G9" s="57">
        <f>$D$5</f>
        <v>0</v>
      </c>
    </row>
    <row r="10">
      <c r="A10" s="49">
        <f t="shared" ref="A10:A11" si="1">A9+1</f>
        <v>2</v>
      </c>
      <c r="B10" s="51"/>
      <c r="C10" s="51"/>
      <c r="D10" s="63">
        <f>sum(D22:D27)</f>
        <v>0</v>
      </c>
      <c r="E10" s="63">
        <f t="shared" ref="E10:E12" si="2">E9-D9</f>
        <v>0</v>
      </c>
      <c r="F10" s="63">
        <f>sum(F22:F27)</f>
        <v>0</v>
      </c>
      <c r="G10" s="63">
        <f t="shared" ref="G10:G12" si="3">G9-F9</f>
        <v>0</v>
      </c>
    </row>
    <row r="11">
      <c r="A11" s="62">
        <f t="shared" si="1"/>
        <v>3</v>
      </c>
      <c r="B11" s="33"/>
      <c r="C11" s="33"/>
      <c r="D11" s="57">
        <f>sum(D28:D33)</f>
        <v>0</v>
      </c>
      <c r="E11" s="57">
        <f t="shared" si="2"/>
        <v>0</v>
      </c>
      <c r="F11" s="57">
        <f>sum(F28:F33)</f>
        <v>0</v>
      </c>
      <c r="G11" s="57">
        <f t="shared" si="3"/>
        <v>0</v>
      </c>
    </row>
    <row r="12">
      <c r="A12" s="64" t="s">
        <v>141</v>
      </c>
      <c r="B12" s="51"/>
      <c r="C12" s="51"/>
      <c r="D12" s="51"/>
      <c r="E12" s="63">
        <f t="shared" si="2"/>
        <v>0</v>
      </c>
      <c r="F12" s="51"/>
      <c r="G12" s="63">
        <f t="shared" si="3"/>
        <v>0</v>
      </c>
    </row>
    <row r="13">
      <c r="A13" s="62"/>
      <c r="B13" s="33"/>
      <c r="C13" s="33"/>
      <c r="D13" s="33"/>
      <c r="E13" s="33"/>
      <c r="F13" s="33"/>
      <c r="G13" s="33"/>
    </row>
    <row r="14">
      <c r="A14" s="66" t="s">
        <v>142</v>
      </c>
      <c r="B14" s="67"/>
      <c r="C14" s="68"/>
      <c r="D14" s="68"/>
      <c r="E14" s="68"/>
      <c r="F14" s="68"/>
      <c r="G14" s="68"/>
    </row>
    <row r="15">
      <c r="A15" s="62"/>
      <c r="B15" s="33"/>
      <c r="C15" s="33"/>
      <c r="D15" s="33"/>
      <c r="E15" s="33"/>
      <c r="F15" s="33"/>
      <c r="G15" s="33"/>
    </row>
    <row r="16">
      <c r="A16" s="69">
        <f>A9</f>
        <v>1</v>
      </c>
      <c r="B16" s="51"/>
      <c r="C16" s="51"/>
      <c r="D16" s="51"/>
      <c r="E16" s="51"/>
      <c r="F16" s="51"/>
      <c r="G16" s="51"/>
    </row>
    <row r="17">
      <c r="A17" s="62"/>
      <c r="B17" s="71"/>
      <c r="C17" s="33"/>
      <c r="D17" s="33"/>
      <c r="E17" s="33"/>
      <c r="F17" s="33"/>
      <c r="G17" s="33"/>
    </row>
    <row r="18">
      <c r="A18" s="49"/>
      <c r="B18" s="77"/>
      <c r="C18" s="65"/>
      <c r="D18" s="72"/>
      <c r="E18" s="50"/>
      <c r="F18" s="72"/>
      <c r="G18" s="50"/>
    </row>
    <row r="19">
      <c r="A19" s="62"/>
      <c r="B19" s="33"/>
      <c r="C19" s="33"/>
      <c r="D19" s="57"/>
      <c r="E19" s="33"/>
      <c r="F19" s="57"/>
      <c r="G19" s="33"/>
    </row>
    <row r="20">
      <c r="A20" s="73"/>
      <c r="B20" s="51"/>
      <c r="C20" s="65"/>
      <c r="D20" s="63"/>
      <c r="E20" s="65"/>
      <c r="F20" s="63"/>
      <c r="G20" s="65"/>
    </row>
    <row r="21">
      <c r="A21" s="62"/>
      <c r="B21" s="33"/>
      <c r="C21" s="33"/>
      <c r="D21" s="57"/>
      <c r="E21" s="33"/>
      <c r="F21" s="57"/>
      <c r="G21" s="33"/>
    </row>
    <row r="22">
      <c r="A22" s="69">
        <f>A10</f>
        <v>2</v>
      </c>
      <c r="B22" s="51"/>
      <c r="C22" s="51"/>
      <c r="D22" s="51"/>
      <c r="E22" s="51"/>
      <c r="F22" s="51"/>
      <c r="G22" s="51"/>
    </row>
    <row r="23">
      <c r="A23" s="62"/>
      <c r="B23" s="71"/>
      <c r="C23" s="33"/>
      <c r="D23" s="33"/>
      <c r="E23" s="33"/>
      <c r="F23" s="33"/>
      <c r="G23" s="33"/>
    </row>
    <row r="24">
      <c r="A24" s="73"/>
      <c r="B24" s="51"/>
      <c r="C24" s="65"/>
      <c r="D24" s="63"/>
      <c r="E24" s="65"/>
      <c r="F24" s="63"/>
      <c r="G24" s="65"/>
    </row>
    <row r="25">
      <c r="A25" s="62"/>
      <c r="B25" s="33"/>
      <c r="C25" s="33"/>
      <c r="D25" s="57"/>
      <c r="E25" s="33"/>
      <c r="F25" s="57"/>
      <c r="G25" s="33"/>
    </row>
    <row r="26">
      <c r="A26" s="73"/>
      <c r="B26" s="51"/>
      <c r="C26" s="65"/>
      <c r="D26" s="63"/>
      <c r="E26" s="65"/>
      <c r="F26" s="63"/>
      <c r="G26" s="65"/>
    </row>
    <row r="27">
      <c r="A27" s="62"/>
      <c r="B27" s="33"/>
      <c r="C27" s="33"/>
      <c r="D27" s="57"/>
      <c r="E27" s="33"/>
      <c r="F27" s="57"/>
      <c r="G27" s="33"/>
    </row>
    <row r="28">
      <c r="A28" s="69">
        <f>A11</f>
        <v>3</v>
      </c>
      <c r="B28" s="51"/>
      <c r="C28" s="51"/>
      <c r="D28" s="51"/>
      <c r="E28" s="51"/>
      <c r="F28" s="51"/>
      <c r="G28" s="51"/>
    </row>
    <row r="29">
      <c r="A29" s="62"/>
      <c r="B29" s="71"/>
      <c r="C29" s="33"/>
      <c r="D29" s="33"/>
      <c r="E29" s="33"/>
      <c r="F29" s="33"/>
      <c r="G29" s="33"/>
    </row>
    <row r="30">
      <c r="A30" s="73"/>
      <c r="B30" s="51"/>
      <c r="C30" s="65"/>
      <c r="D30" s="63"/>
      <c r="E30" s="65"/>
      <c r="F30" s="65"/>
      <c r="G30" s="65"/>
    </row>
    <row r="31">
      <c r="A31" s="62"/>
      <c r="B31" s="33"/>
      <c r="C31" s="33"/>
      <c r="D31" s="57"/>
      <c r="E31" s="33"/>
      <c r="F31" s="33"/>
      <c r="G31" s="33"/>
    </row>
    <row r="32">
      <c r="A32" s="73"/>
      <c r="B32" s="51"/>
      <c r="C32" s="51"/>
      <c r="D32" s="63"/>
      <c r="E32" s="65"/>
      <c r="F32" s="65"/>
      <c r="G32" s="65"/>
    </row>
    <row r="33">
      <c r="A33" s="62"/>
      <c r="B33" s="33"/>
      <c r="C33" s="74" t="s">
        <v>143</v>
      </c>
      <c r="D33" s="57"/>
      <c r="E33" s="33"/>
      <c r="F33" s="33"/>
      <c r="G33" s="33"/>
    </row>
    <row r="34">
      <c r="A34" s="73"/>
      <c r="B34" s="51"/>
      <c r="C34" s="51"/>
      <c r="D34" s="51"/>
      <c r="E34" s="51"/>
      <c r="F34" s="51"/>
      <c r="G34" s="51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5.13"/>
    <col customWidth="1" min="2" max="4" width="40.13"/>
  </cols>
  <sheetData>
    <row r="1">
      <c r="A1" s="78" t="s">
        <v>64</v>
      </c>
      <c r="B1" s="46" t="s">
        <v>144</v>
      </c>
      <c r="C1" s="46" t="s">
        <v>145</v>
      </c>
      <c r="D1" s="79" t="s">
        <v>146</v>
      </c>
    </row>
    <row r="2">
      <c r="A2" s="3"/>
      <c r="B2" s="3"/>
      <c r="C2" s="3"/>
      <c r="D2" s="3"/>
    </row>
    <row r="3">
      <c r="A3" s="3"/>
      <c r="B3" s="3"/>
      <c r="C3" s="3"/>
      <c r="D3" s="3"/>
    </row>
    <row r="4">
      <c r="A4" s="3"/>
      <c r="B4" s="3"/>
      <c r="C4" s="3"/>
      <c r="D4" s="3"/>
    </row>
    <row r="5">
      <c r="A5" s="3"/>
      <c r="B5" s="3"/>
      <c r="C5" s="3"/>
      <c r="D5" s="3"/>
    </row>
    <row r="6">
      <c r="A6" s="3"/>
      <c r="B6" s="3"/>
      <c r="C6" s="3"/>
      <c r="D6" s="3"/>
    </row>
    <row r="7">
      <c r="A7" s="3"/>
      <c r="B7" s="3"/>
      <c r="C7" s="3"/>
      <c r="D7" s="3"/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" t="s">
        <v>147</v>
      </c>
      <c r="B1" s="4" t="s">
        <v>148</v>
      </c>
    </row>
    <row r="2">
      <c r="A2" s="3"/>
      <c r="B2" s="3"/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9" t="s">
        <v>64</v>
      </c>
      <c r="B1" s="4" t="s">
        <v>149</v>
      </c>
      <c r="C1" s="4" t="s">
        <v>150</v>
      </c>
      <c r="D1" s="4" t="s">
        <v>151</v>
      </c>
      <c r="E1" s="4" t="s">
        <v>152</v>
      </c>
      <c r="F1" s="4" t="s">
        <v>71</v>
      </c>
    </row>
    <row r="2">
      <c r="A2" s="3"/>
      <c r="B2" s="3"/>
      <c r="C2" s="3"/>
      <c r="D2" s="3"/>
      <c r="E2" s="3"/>
      <c r="F2" s="3"/>
    </row>
    <row r="3">
      <c r="A3" s="3"/>
      <c r="B3" s="3"/>
      <c r="C3" s="3"/>
      <c r="D3" s="3"/>
      <c r="E3" s="3"/>
      <c r="F3" s="3"/>
    </row>
    <row r="4">
      <c r="A4" s="3"/>
      <c r="B4" s="3"/>
      <c r="C4" s="3"/>
      <c r="D4" s="3"/>
      <c r="E4" s="3"/>
      <c r="F4" s="3"/>
    </row>
    <row r="5">
      <c r="A5" s="3"/>
      <c r="B5" s="3"/>
      <c r="C5" s="3"/>
      <c r="D5" s="3"/>
      <c r="E5" s="3"/>
      <c r="F5" s="3"/>
    </row>
    <row r="6">
      <c r="A6" s="3"/>
      <c r="B6" s="3"/>
      <c r="C6" s="3"/>
      <c r="D6" s="3"/>
      <c r="E6" s="3"/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80" t="str">
        <f>'Project Team'!A1</f>
        <v>Last Name</v>
      </c>
      <c r="B1" s="80" t="str">
        <f>'Project Team'!B1</f>
        <v>First Name</v>
      </c>
      <c r="C1" s="81" t="s">
        <v>153</v>
      </c>
      <c r="D1" s="82"/>
      <c r="E1" s="83"/>
      <c r="F1" s="84"/>
      <c r="G1" s="85"/>
      <c r="H1" s="85"/>
    </row>
    <row r="2">
      <c r="A2" s="86" t="str">
        <f>'Project Team'!A5</f>
        <v>Huy</v>
      </c>
      <c r="B2" s="86" t="str">
        <f>'Project Team'!B5</f>
        <v>Christoph</v>
      </c>
      <c r="C2" s="87"/>
      <c r="D2" s="88"/>
      <c r="E2" s="89" t="str">
        <f>average(C2:C10)</f>
        <v>#DIV/0!</v>
      </c>
      <c r="F2" s="90" t="str">
        <f>if(stdev(C2:C7) &gt; 0,"NOK", "OK")</f>
        <v>#DIV/0!</v>
      </c>
      <c r="G2" s="91"/>
      <c r="H2" s="91"/>
    </row>
    <row r="3">
      <c r="A3" s="92" t="str">
        <f>'Project Team'!A6</f>
        <v>Selbig</v>
      </c>
      <c r="B3" s="92" t="str">
        <f>'Project Team'!B6</f>
        <v>Simon</v>
      </c>
      <c r="C3" s="87"/>
      <c r="D3" s="93"/>
      <c r="G3" s="94"/>
      <c r="H3" s="94"/>
    </row>
    <row r="4">
      <c r="A4" s="86" t="str">
        <f>'Project Team'!A7</f>
        <v>Haseeb</v>
      </c>
      <c r="B4" s="86" t="str">
        <f>'Project Team'!B7</f>
        <v>Abdul</v>
      </c>
      <c r="C4" s="87"/>
      <c r="D4" s="88"/>
      <c r="G4" s="91"/>
      <c r="H4" s="91"/>
    </row>
    <row r="5">
      <c r="A5" s="92" t="str">
        <f>'Project Team'!A8</f>
        <v>Pohnke</v>
      </c>
      <c r="B5" s="92" t="str">
        <f>'Project Team'!B8</f>
        <v>Hannes</v>
      </c>
      <c r="C5" s="87"/>
      <c r="D5" s="95"/>
      <c r="E5" s="95"/>
      <c r="F5" s="95"/>
      <c r="G5" s="94"/>
      <c r="H5" s="94"/>
    </row>
    <row r="6">
      <c r="A6" s="86" t="str">
        <f>'Project Team'!A9</f>
        <v>Jokiel</v>
      </c>
      <c r="B6" s="86" t="str">
        <f>'Project Team'!B9</f>
        <v>Rene</v>
      </c>
      <c r="C6" s="87"/>
      <c r="D6" s="96"/>
      <c r="E6" s="97">
        <v>0.0</v>
      </c>
      <c r="F6" s="98" t="s">
        <v>154</v>
      </c>
      <c r="G6" s="91"/>
      <c r="H6" s="91"/>
    </row>
    <row r="7">
      <c r="A7" s="92" t="str">
        <f>'Project Team'!A10</f>
        <v>Khabouze</v>
      </c>
      <c r="B7" s="92" t="str">
        <f>'Project Team'!B10</f>
        <v>Mehdi</v>
      </c>
      <c r="C7" s="87"/>
      <c r="D7" s="95"/>
      <c r="E7" s="97">
        <v>1.0</v>
      </c>
      <c r="F7" s="98" t="s">
        <v>155</v>
      </c>
      <c r="G7" s="94"/>
      <c r="H7" s="94"/>
    </row>
    <row r="8">
      <c r="C8" s="99"/>
      <c r="D8" s="96"/>
      <c r="E8" s="97">
        <v>2.0</v>
      </c>
      <c r="F8" s="98" t="s">
        <v>156</v>
      </c>
      <c r="G8" s="91"/>
      <c r="H8" s="91"/>
    </row>
    <row r="9">
      <c r="C9" s="99"/>
      <c r="D9" s="95"/>
      <c r="E9" s="97">
        <v>3.0</v>
      </c>
      <c r="F9" s="98" t="s">
        <v>157</v>
      </c>
      <c r="G9" s="94"/>
      <c r="H9" s="94"/>
    </row>
    <row r="10">
      <c r="C10" s="99"/>
      <c r="D10" s="96"/>
      <c r="E10" s="97">
        <v>5.0</v>
      </c>
      <c r="F10" s="98" t="s">
        <v>158</v>
      </c>
      <c r="G10" s="91"/>
      <c r="H10" s="91"/>
    </row>
    <row r="11">
      <c r="A11" s="86"/>
      <c r="B11" s="86"/>
      <c r="C11" s="100"/>
      <c r="D11" s="95"/>
      <c r="E11" s="97">
        <v>8.0</v>
      </c>
      <c r="F11" s="98" t="s">
        <v>159</v>
      </c>
      <c r="G11" s="94"/>
      <c r="H11" s="94"/>
    </row>
    <row r="12">
      <c r="A12" s="92"/>
      <c r="B12" s="92"/>
      <c r="C12" s="100"/>
      <c r="D12" s="96"/>
      <c r="E12" s="97">
        <v>13.0</v>
      </c>
      <c r="F12" s="98" t="s">
        <v>160</v>
      </c>
      <c r="G12" s="91"/>
      <c r="H12" s="91"/>
    </row>
    <row r="13">
      <c r="A13" s="86"/>
      <c r="B13" s="86"/>
      <c r="C13" s="95"/>
      <c r="D13" s="95"/>
      <c r="E13" s="95"/>
      <c r="F13" s="95"/>
      <c r="G13" s="94"/>
      <c r="H13" s="94"/>
    </row>
    <row r="14">
      <c r="A14" s="101" t="s">
        <v>161</v>
      </c>
      <c r="B14" s="102"/>
      <c r="C14" s="102"/>
      <c r="D14" s="102"/>
      <c r="E14" s="102"/>
      <c r="F14" s="102"/>
      <c r="G14" s="102"/>
      <c r="H14" s="102"/>
    </row>
    <row r="15">
      <c r="A15" s="103"/>
      <c r="B15" s="103"/>
      <c r="C15" s="103"/>
      <c r="D15" s="103"/>
      <c r="E15" s="103"/>
      <c r="F15" s="103"/>
      <c r="G15" s="103"/>
      <c r="H15" s="103"/>
    </row>
    <row r="16">
      <c r="A16" s="104" t="s">
        <v>162</v>
      </c>
      <c r="B16" s="105"/>
      <c r="C16" s="105"/>
      <c r="D16" s="105"/>
      <c r="E16" s="105"/>
      <c r="F16" s="105"/>
      <c r="G16" s="105"/>
      <c r="H16" s="105"/>
    </row>
    <row r="17">
      <c r="A17" s="106" t="s">
        <v>163</v>
      </c>
      <c r="B17" s="103"/>
      <c r="C17" s="103"/>
      <c r="D17" s="103"/>
      <c r="E17" s="103"/>
      <c r="F17" s="103"/>
      <c r="G17" s="103"/>
      <c r="H17" s="103"/>
    </row>
    <row r="18">
      <c r="A18" s="104" t="s">
        <v>164</v>
      </c>
      <c r="B18" s="105"/>
      <c r="C18" s="105"/>
      <c r="D18" s="105"/>
      <c r="E18" s="105"/>
      <c r="F18" s="105"/>
      <c r="G18" s="105"/>
      <c r="H18" s="105"/>
    </row>
    <row r="19">
      <c r="A19" s="103"/>
      <c r="B19" s="103"/>
      <c r="C19" s="103"/>
      <c r="D19" s="103"/>
      <c r="E19" s="103"/>
      <c r="F19" s="103"/>
      <c r="G19" s="103"/>
      <c r="H19" s="103"/>
    </row>
    <row r="20">
      <c r="A20" s="105"/>
      <c r="B20" s="105"/>
      <c r="C20" s="105"/>
      <c r="D20" s="105"/>
      <c r="E20" s="105"/>
      <c r="F20" s="105"/>
      <c r="G20" s="105"/>
      <c r="H20" s="105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