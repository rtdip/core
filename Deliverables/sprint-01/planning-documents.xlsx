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Mid-Project Release plan" sheetId="9" r:id="rId11"/>
    <sheet state="visible" name="Final Project Release plan" sheetId="10" r:id="rId12"/>
    <sheet state="visible" name="Definition of Done" sheetId="11" r:id="rId13"/>
    <sheet state="visible" name="Documentation" sheetId="12" r:id="rId14"/>
    <sheet state="visible" name="Bill of Materials" sheetId="13" r:id="rId15"/>
    <sheet state="visible" name="Planning Poker" sheetId="14" r:id="rId16"/>
  </sheets>
  <definedNames/>
  <calcPr/>
</workbook>
</file>

<file path=xl/sharedStrings.xml><?xml version="1.0" encoding="utf-8"?>
<sst xmlns="http://schemas.openxmlformats.org/spreadsheetml/2006/main" count="248" uniqueCount="151">
  <si>
    <t>Project Name</t>
  </si>
  <si>
    <t>Robot Visual Perception</t>
  </si>
  <si>
    <t>Online team meeting</t>
  </si>
  <si>
    <t>https://fau.zoom-x.de/j/62836031488</t>
  </si>
  <si>
    <t>Production system (if any)</t>
  </si>
  <si>
    <t>TBD (Industry Partner Meeting on Friday)</t>
  </si>
  <si>
    <t>Test system (if any)</t>
  </si>
  <si>
    <t>GitHub repository</t>
  </si>
  <si>
    <t>https://github.com/amosproj/amos2025ws04-robot-visual-perception</t>
  </si>
  <si>
    <t>GitHub feature board</t>
  </si>
  <si>
    <t>https://github.com/orgs/amosproj/projects/92</t>
  </si>
  <si>
    <t>GitHub imp-squared backlog</t>
  </si>
  <si>
    <t>https://github.com/orgs/amosproj/projects/95</t>
  </si>
  <si>
    <t>Team T-shirt (white)</t>
  </si>
  <si>
    <t>(Deadline Sunday 19.10)</t>
  </si>
  <si>
    <t>Team T-shirt (black)</t>
  </si>
  <si>
    <t>Additional materials</t>
  </si>
  <si>
    <t>https://discord.gg/VDqD2Zfb</t>
  </si>
  <si>
    <t>Team maling list</t>
  </si>
  <si>
    <t>oss-amos-proj4@lists.fau.de</t>
  </si>
  <si>
    <t>https://happy-amos.appspot.com/Courses</t>
  </si>
  <si>
    <t>Please use our mailing list for written communication. Only CC teachers (university) and coaches on specific topics, as the mailing lists are very long.</t>
  </si>
  <si>
    <t>Last Name</t>
  </si>
  <si>
    <t>First Name</t>
  </si>
  <si>
    <t>GitHub User Name</t>
  </si>
  <si>
    <t>Email Address</t>
  </si>
  <si>
    <t>Hilgers</t>
  </si>
  <si>
    <t>Felix</t>
  </si>
  <si>
    <t>fhilgers</t>
  </si>
  <si>
    <t>felix.hilgers@fau.de</t>
  </si>
  <si>
    <t>Khan</t>
  </si>
  <si>
    <t>Muhamad</t>
  </si>
  <si>
    <t>mukahn</t>
  </si>
  <si>
    <t>md.kahn@tu-berlin.de</t>
  </si>
  <si>
    <t>Samdani</t>
  </si>
  <si>
    <t>Sarib</t>
  </si>
  <si>
    <t>saribx</t>
  </si>
  <si>
    <t>saribstudent@gmail.com</t>
  </si>
  <si>
    <t>Chinbat</t>
  </si>
  <si>
    <t>Anuun</t>
  </si>
  <si>
    <t>anuunchin</t>
  </si>
  <si>
    <t>anuun.ch@gmail.com</t>
  </si>
  <si>
    <t>Goldschmidt</t>
  </si>
  <si>
    <t>Georgina</t>
  </si>
  <si>
    <t>bu31punu</t>
  </si>
  <si>
    <t>dzsini.lost@gmail.com</t>
  </si>
  <si>
    <t>Zinn</t>
  </si>
  <si>
    <t>Benedikt</t>
  </si>
  <si>
    <t>BenediktZinn</t>
  </si>
  <si>
    <t>benedikt.wh.zinn@gmail.com</t>
  </si>
  <si>
    <t>Badura</t>
  </si>
  <si>
    <t>Emil</t>
  </si>
  <si>
    <t>Tenebrae311</t>
  </si>
  <si>
    <t>badura@tu-berlin.de</t>
  </si>
  <si>
    <t>Assenbaum</t>
  </si>
  <si>
    <t>Paul</t>
  </si>
  <si>
    <t>Paul2607</t>
  </si>
  <si>
    <t>paul.assenbaum@fau.de</t>
  </si>
  <si>
    <t>Mantsch</t>
  </si>
  <si>
    <t>Christoph</t>
  </si>
  <si>
    <t>Christoph-Mantsch</t>
  </si>
  <si>
    <t>christoph.cm.mantsch@fau.de</t>
  </si>
  <si>
    <t>Product Owner</t>
  </si>
  <si>
    <t>#</t>
  </si>
  <si>
    <t>Meeting Day</t>
  </si>
  <si>
    <t>Review</t>
  </si>
  <si>
    <t>Planning</t>
  </si>
  <si>
    <t>Software Developer</t>
  </si>
  <si>
    <t>Release Manager</t>
  </si>
  <si>
    <t>Scrum Master</t>
  </si>
  <si>
    <t>Comment</t>
  </si>
  <si>
    <t>Felix Hilgers</t>
  </si>
  <si>
    <t>Benedikt Zinn</t>
  </si>
  <si>
    <t>Everyone else</t>
  </si>
  <si>
    <t>Paul Assenbaum</t>
  </si>
  <si>
    <t>Georgina Goldschmidt</t>
  </si>
  <si>
    <t>(Tuesday 21. Discord for Release process example)</t>
  </si>
  <si>
    <t>Anuun Chinbat</t>
  </si>
  <si>
    <t>Sarib Samdani</t>
  </si>
  <si>
    <t>Emil Badura</t>
  </si>
  <si>
    <t>Mid-term due</t>
  </si>
  <si>
    <t>Christoph Mantsch</t>
  </si>
  <si>
    <t>Demo day!</t>
  </si>
  <si>
    <t>Retrospective</t>
  </si>
  <si>
    <t>Product owners, software developers, and Scurm Master are set and ideally don't change over time; the critical part is the Release Manager role you need to define here</t>
  </si>
  <si>
    <t>Goals</t>
  </si>
  <si>
    <t>Development of a visual perception system for robots with an accuracy of &gt;= 90%</t>
  </si>
  <si>
    <t>Meeting norms</t>
  </si>
  <si>
    <t xml:space="preserve">Zoom-Meetings in the meeting room of the university. 
Joining the meeting is mandatory, with exceptions (like sickness, etc.).
As an exception, showing up to 10 minutes late is fine if the team is informed via discord.
Happiness Index: has to be completed at the end of the meeting (amos happy).
Stand-up-mails: containing -&gt; things done, problems encountered, things up next.
 -&gt; For SDs: min 2x per week
 -&gt; For POs: min 1x per week
</t>
  </si>
  <si>
    <t>Working norms</t>
  </si>
  <si>
    <t>Issues on Github in the “Feature board” project of the repository.
Definition of Done: If specified in the issue that the feature has to be tested, tests have to be written for that feature, documented (in code or later in the wiki)
Git-branches:
The latest commit on the main-branch has to be tagged.
Only 2 “in progress” tickets per person at one time.</t>
  </si>
  <si>
    <t>Coordination norms</t>
  </si>
  <si>
    <t>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t>
  </si>
  <si>
    <t>Communication norms</t>
  </si>
  <si>
    <t xml:space="preserve">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
</t>
  </si>
  <si>
    <t>Consideration norms</t>
  </si>
  <si>
    <t>Cont. improvement norms</t>
  </si>
  <si>
    <t>Rewards</t>
  </si>
  <si>
    <t>Online coffee or lunch meet at some point.</t>
  </si>
  <si>
    <t>Sanctions</t>
  </si>
  <si>
    <t>Document absence. Repeated absence is addressed with the missing person directly but will later be escalated to professors.</t>
  </si>
  <si>
    <t>Signatures</t>
  </si>
  <si>
    <t>Product owner</t>
  </si>
  <si>
    <t>Software developer</t>
  </si>
  <si>
    <t>Product Vision</t>
  </si>
  <si>
    <t>Project Mission</t>
  </si>
  <si>
    <t>The reason of existence of the envisioned product (beyond this project).</t>
  </si>
  <si>
    <t>The mission of this particular project (in the context of the product vision).</t>
  </si>
  <si>
    <t>Term</t>
  </si>
  <si>
    <t>Definition</t>
  </si>
  <si>
    <t>Sprint #</t>
  </si>
  <si>
    <t>Sprint goal</t>
  </si>
  <si>
    <t>Meeting with industry partner and getting things started (and the T-shirt of course)</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</si>
  <si>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</si>
  <si>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</si>
  <si>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</si>
  <si>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</si>
  <si>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</si>
  <si>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</si>
  <si>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</si>
  <si>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</si>
  <si>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</si>
  <si>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</si>
  <si>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</si>
  <si>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</si>
  <si>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</si>
  <si>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</si>
  <si>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t>
  </si>
  <si>
    <t>Features</t>
  </si>
  <si>
    <t>PLEASE CREATE THE BURNDOWN CHART ON A NEW TAB USING THE DATA FROM THIS TAB</t>
  </si>
  <si>
    <t>Feature Definition of Done</t>
  </si>
  <si>
    <t>Sprint Release Definition of Done</t>
  </si>
  <si>
    <t>Project Release Definition of Done</t>
  </si>
  <si>
    <t>Type</t>
  </si>
  <si>
    <t>Link / reference</t>
  </si>
  <si>
    <t>Context</t>
  </si>
  <si>
    <t>Name</t>
  </si>
  <si>
    <t>Version</t>
  </si>
  <si>
    <t>License</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</si>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</sst>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9">
    <font>
      <sz val="10.0"/>
      <color rgb="FF000000"/>
      <name val="Arial"/>
    </font>
    <font>
      <b/>
    </font>
    <font/>
    <font>
      <u/>
      <color rgb="FF0000FF"/>
    </font>
    <font>
      <u/>
      <color rgb="FF0000FF"/>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04">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5" numFmtId="0" xfId="0" applyAlignment="1" applyFill="1" applyFont="1">
      <alignment shrinkToFit="0" vertical="bottom" wrapText="1"/>
    </xf>
    <xf borderId="0" fillId="3" fontId="6" numFmtId="0" xfId="0" applyAlignment="1" applyFont="1">
      <alignment readingOrder="0" shrinkToFit="0" vertical="bottom" wrapText="1"/>
    </xf>
    <xf borderId="0" fillId="4" fontId="6" numFmtId="0" xfId="0" applyAlignment="1" applyFill="1" applyFont="1">
      <alignment shrinkToFit="0" vertical="bottom" wrapText="1"/>
    </xf>
    <xf borderId="0" fillId="4" fontId="6" numFmtId="0" xfId="0" applyAlignment="1" applyFont="1">
      <alignment shrinkToFit="0" vertical="bottom" wrapText="1"/>
    </xf>
    <xf borderId="0" fillId="3" fontId="5" numFmtId="0" xfId="0" applyAlignment="1" applyFont="1">
      <alignment readingOrder="0" shrinkToFit="0" vertical="bottom" wrapText="1"/>
    </xf>
    <xf borderId="0" fillId="3" fontId="6" numFmtId="0" xfId="0" applyAlignment="1" applyFont="1">
      <alignment shrinkToFit="0" vertical="bottom" wrapText="1"/>
    </xf>
    <xf borderId="0" fillId="3" fontId="5"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6"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5" numFmtId="0" xfId="0" applyAlignment="1" applyFont="1">
      <alignment horizontal="left" shrinkToFit="0" vertical="bottom" wrapText="1"/>
    </xf>
    <xf borderId="0" fillId="2" fontId="5" numFmtId="0" xfId="0" applyAlignment="1" applyFont="1">
      <alignment shrinkToFit="0" vertical="bottom" wrapText="0"/>
    </xf>
    <xf borderId="0" fillId="2" fontId="5" numFmtId="0" xfId="0" applyAlignment="1" applyFont="1">
      <alignment shrinkToFit="0" vertical="bottom" wrapText="0"/>
    </xf>
    <xf borderId="0" fillId="2" fontId="5" numFmtId="0" xfId="0" applyAlignment="1" applyFont="1">
      <alignment horizontal="center" readingOrder="0" shrinkToFit="0" vertical="bottom" wrapText="1"/>
    </xf>
    <xf borderId="0" fillId="3" fontId="6" numFmtId="0" xfId="0" applyAlignment="1" applyFont="1">
      <alignment horizontal="left" shrinkToFit="0" vertical="bottom" wrapText="1"/>
    </xf>
    <xf borderId="0" fillId="3" fontId="6" numFmtId="0" xfId="0" applyAlignment="1" applyFont="1">
      <alignment shrinkToFit="0" vertical="bottom" wrapText="0"/>
    </xf>
    <xf borderId="0" fillId="6" fontId="5" numFmtId="0" xfId="0" applyAlignment="1" applyFill="1" applyFont="1">
      <alignment horizontal="left" shrinkToFit="0" vertical="bottom" wrapText="0"/>
    </xf>
    <xf borderId="0" fillId="6" fontId="6" numFmtId="0" xfId="0" applyAlignment="1" applyFont="1">
      <alignment shrinkToFit="0" vertical="bottom" wrapText="0"/>
    </xf>
    <xf borderId="0" fillId="6" fontId="6" numFmtId="0" xfId="0" applyAlignment="1" applyFont="1">
      <alignment shrinkToFit="0" vertical="bottom" wrapText="1"/>
    </xf>
    <xf borderId="0" fillId="4" fontId="5" numFmtId="0" xfId="0" applyAlignment="1" applyFont="1">
      <alignment shrinkToFit="0" vertical="bottom" wrapText="0"/>
    </xf>
    <xf borderId="0" fillId="0" fontId="2" numFmtId="0" xfId="0" applyAlignment="1" applyFont="1">
      <alignment shrinkToFit="0" wrapText="0"/>
    </xf>
    <xf borderId="0" fillId="4" fontId="6" numFmtId="0" xfId="0" applyAlignment="1" applyFont="1">
      <alignment horizontal="right" shrinkToFit="0" vertical="bottom" wrapText="0"/>
    </xf>
    <xf borderId="0" fillId="7" fontId="5" numFmtId="0" xfId="0" applyAlignment="1" applyFill="1" applyFont="1">
      <alignment horizontal="left" shrinkToFit="0" vertical="bottom" wrapText="0"/>
    </xf>
    <xf borderId="0" fillId="7" fontId="5" numFmtId="0" xfId="0" applyAlignment="1" applyFont="1">
      <alignment shrinkToFit="0" vertical="bottom" wrapText="0"/>
    </xf>
    <xf borderId="0" fillId="7" fontId="6" numFmtId="0" xfId="0" applyAlignment="1" applyFont="1">
      <alignment shrinkToFit="0" vertical="bottom" wrapText="1"/>
    </xf>
    <xf borderId="0" fillId="3" fontId="7" numFmtId="0" xfId="0" applyAlignment="1" applyFont="1">
      <alignment horizontal="center" shrinkToFit="0" vertical="bottom" wrapText="0"/>
    </xf>
    <xf borderId="0" fillId="4" fontId="6" numFmtId="0" xfId="0" applyAlignment="1" applyFont="1">
      <alignment horizontal="left" shrinkToFit="0" vertical="bottom" wrapText="1"/>
    </xf>
    <xf borderId="0" fillId="3" fontId="6" numFmtId="0" xfId="0" applyAlignment="1" applyFont="1">
      <alignment horizontal="right" shrinkToFit="0" vertical="bottom" wrapText="0"/>
    </xf>
    <xf borderId="0" fillId="3" fontId="6" numFmtId="0" xfId="0" applyAlignment="1" applyFont="1">
      <alignment horizontal="left" readingOrder="0" shrinkToFit="0" vertical="bottom" wrapText="1"/>
    </xf>
    <xf borderId="0" fillId="3" fontId="6" numFmtId="0" xfId="0" applyAlignment="1" applyFont="1">
      <alignment shrinkToFit="0" vertical="bottom" wrapText="0"/>
    </xf>
    <xf borderId="0" fillId="8" fontId="5" numFmtId="0" xfId="0" applyAlignment="1" applyFill="1" applyFont="1">
      <alignment horizontal="left" shrinkToFit="0" vertical="bottom" wrapText="0"/>
    </xf>
    <xf borderId="0" fillId="8" fontId="5" numFmtId="0" xfId="0" applyAlignment="1" applyFont="1">
      <alignment shrinkToFit="0" vertical="bottom" wrapText="0"/>
    </xf>
    <xf borderId="0" fillId="8" fontId="6" numFmtId="0" xfId="0" applyAlignment="1" applyFont="1">
      <alignment shrinkToFit="0" vertical="bottom" wrapText="1"/>
    </xf>
    <xf borderId="0" fillId="3" fontId="5" numFmtId="0" xfId="0" applyAlignment="1" applyFont="1">
      <alignment horizontal="left" shrinkToFit="0" vertical="bottom" wrapText="0"/>
    </xf>
    <xf borderId="0" fillId="3" fontId="5" numFmtId="0" xfId="0" applyAlignment="1" applyFont="1">
      <alignment shrinkToFit="0" vertical="bottom" wrapText="0"/>
    </xf>
    <xf borderId="0" fillId="4" fontId="6" numFmtId="0" xfId="0" applyAlignment="1" applyFont="1">
      <alignment shrinkToFit="0" vertical="bottom" wrapText="0"/>
    </xf>
    <xf borderId="0" fillId="3" fontId="6" numFmtId="0" xfId="0" applyAlignment="1" applyFont="1">
      <alignment horizontal="right" shrinkToFit="0" vertical="bottom" wrapText="0"/>
    </xf>
    <xf borderId="0" fillId="3" fontId="6" numFmtId="0" xfId="0" applyAlignment="1" applyFont="1">
      <alignment horizontal="left" shrinkToFit="0" vertical="bottom" wrapText="1"/>
    </xf>
    <xf borderId="0" fillId="5" fontId="1" numFmtId="0" xfId="0" applyAlignment="1" applyFont="1">
      <alignment readingOrder="0" shrinkToFit="0" wrapText="0"/>
    </xf>
    <xf borderId="0" fillId="2" fontId="5" numFmtId="0" xfId="0" applyAlignment="1" applyFont="1">
      <alignment shrinkToFit="0" vertical="bottom" wrapText="1"/>
    </xf>
    <xf borderId="0" fillId="7" fontId="5" numFmtId="0" xfId="0" applyAlignment="1" applyFont="1">
      <alignment shrinkToFit="0" vertical="bottom" wrapText="0"/>
    </xf>
    <xf borderId="0" fillId="3" fontId="6" numFmtId="0" xfId="0" applyAlignment="1" applyFont="1">
      <alignment shrinkToFit="0" vertical="bottom" wrapText="1"/>
    </xf>
    <xf borderId="0" fillId="2" fontId="5" numFmtId="0" xfId="0" applyAlignment="1" applyFont="1">
      <alignment shrinkToFit="0" vertical="bottom" wrapText="1"/>
    </xf>
    <xf borderId="0" fillId="2" fontId="5" numFmtId="0" xfId="0" applyAlignment="1" applyFont="1">
      <alignment readingOrder="0" shrinkToFit="0" vertical="bottom" wrapText="0"/>
    </xf>
    <xf borderId="0" fillId="2" fontId="5" numFmtId="0" xfId="0" applyAlignment="1" applyFont="1">
      <alignment shrinkToFit="0" vertical="center" wrapText="1"/>
    </xf>
    <xf borderId="0" fillId="2" fontId="5" numFmtId="0" xfId="0" applyAlignment="1" applyFont="1">
      <alignment horizontal="center" shrinkToFit="0" vertical="center" wrapText="1"/>
    </xf>
    <xf borderId="0" fillId="2" fontId="5" numFmtId="4" xfId="0" applyAlignment="1" applyFont="1" applyNumberFormat="1">
      <alignment shrinkToFit="0" vertical="center" wrapText="1"/>
    </xf>
    <xf borderId="0" fillId="2" fontId="6" numFmtId="4" xfId="0" applyAlignment="1" applyFont="1" applyNumberFormat="1">
      <alignment shrinkToFit="0" vertical="center" wrapText="1"/>
    </xf>
    <xf borderId="0" fillId="2" fontId="6" numFmtId="0" xfId="0" applyAlignment="1" applyFont="1">
      <alignment shrinkToFit="0" vertical="center" wrapText="1"/>
    </xf>
    <xf borderId="0" fillId="2" fontId="1" numFmtId="0" xfId="0" applyAlignment="1" applyFont="1">
      <alignment shrinkToFit="0" vertical="center" wrapText="1"/>
    </xf>
    <xf borderId="0" fillId="3" fontId="5" numFmtId="0" xfId="0" applyAlignment="1" applyFont="1">
      <alignment shrinkToFit="0" vertical="center" wrapText="1"/>
    </xf>
    <xf borderId="0" fillId="5" fontId="6" numFmtId="0" xfId="0" applyAlignment="1" applyFont="1">
      <alignment horizontal="center" readingOrder="0" shrinkToFit="0" vertical="center" wrapText="1"/>
    </xf>
    <xf borderId="0" fillId="3" fontId="6" numFmtId="4" xfId="0" applyAlignment="1" applyFont="1" applyNumberFormat="1">
      <alignment shrinkToFit="0" vertical="center" wrapText="1"/>
    </xf>
    <xf borderId="0" fillId="8" fontId="8" numFmtId="4" xfId="0" applyAlignment="1" applyFont="1" applyNumberFormat="1">
      <alignment horizontal="center" shrinkToFit="0" vertical="center" wrapText="1"/>
    </xf>
    <xf borderId="0" fillId="8" fontId="8" numFmtId="0" xfId="0" applyAlignment="1" applyFont="1">
      <alignment horizontal="center" shrinkToFit="0" vertical="center" wrapText="1"/>
    </xf>
    <xf borderId="0" fillId="3" fontId="2" numFmtId="0" xfId="0" applyAlignment="1" applyFont="1">
      <alignment shrinkToFit="0" vertical="center" wrapText="1"/>
    </xf>
    <xf borderId="0" fillId="4" fontId="5" numFmtId="0" xfId="0" applyAlignment="1" applyFont="1">
      <alignment shrinkToFit="0" vertical="center" wrapText="1"/>
    </xf>
    <xf borderId="0" fillId="4" fontId="6" numFmtId="4" xfId="0" applyAlignment="1" applyFont="1" applyNumberFormat="1">
      <alignment shrinkToFit="0" vertical="center" wrapText="1"/>
    </xf>
    <xf borderId="0" fillId="4" fontId="2" numFmtId="0" xfId="0" applyAlignment="1" applyFont="1">
      <alignment shrinkToFit="0" vertical="center" wrapText="1"/>
    </xf>
    <xf borderId="0" fillId="5" fontId="6" numFmtId="0" xfId="0" applyAlignment="1" applyFont="1">
      <alignment horizontal="center" shrinkToFit="0" vertical="center" wrapText="1"/>
    </xf>
    <xf borderId="0" fillId="5" fontId="6" numFmtId="0" xfId="0" applyAlignment="1" applyFont="1">
      <alignment horizontal="center" shrinkToFit="0" vertical="center" wrapText="1"/>
    </xf>
    <xf borderId="0" fillId="4" fontId="6" numFmtId="0" xfId="0" applyAlignment="1" applyFont="1">
      <alignment shrinkToFit="0" vertical="center" wrapText="1"/>
    </xf>
    <xf borderId="0" fillId="3" fontId="6" numFmtId="0" xfId="0" applyAlignment="1" applyFont="1">
      <alignment shrinkToFit="0" vertical="center" wrapText="1"/>
    </xf>
    <xf borderId="0" fillId="7" fontId="6" numFmtId="0" xfId="0" applyAlignment="1" applyFont="1">
      <alignment horizontal="center" shrinkToFit="0" vertical="center" wrapText="1"/>
    </xf>
    <xf borderId="0" fillId="7" fontId="6" numFmtId="0" xfId="0" applyAlignment="1" applyFont="1">
      <alignment readingOrder="0"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6" Type="http://schemas.openxmlformats.org/officeDocument/2006/relationships/worksheet" Target="worksheets/sheet14.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obot Visual Perception"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Development of a visual perception system for robots with an accuracy of &gt;= 90%"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34"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0"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2836031488" TargetMode="External"/><Relationship Id="rId2" Type="http://schemas.openxmlformats.org/officeDocument/2006/relationships/hyperlink" Target="https://github.com/amosproj/amos2025ws04-robot-visual-perception" TargetMode="External"/><Relationship Id="rId3" Type="http://schemas.openxmlformats.org/officeDocument/2006/relationships/hyperlink" Target="https://github.com/orgs/amosproj/projects/92" TargetMode="External"/><Relationship Id="rId4" Type="http://schemas.openxmlformats.org/officeDocument/2006/relationships/hyperlink" Target="https://github.com/orgs/amosproj/projects/95" TargetMode="External"/><Relationship Id="rId9" Type="http://schemas.openxmlformats.org/officeDocument/2006/relationships/table" Target="../tables/table1.xml"/><Relationship Id="rId5" Type="http://schemas.openxmlformats.org/officeDocument/2006/relationships/hyperlink" Target="https://discord.gg/VDqD2Zfb" TargetMode="External"/><Relationship Id="rId6" Type="http://schemas.openxmlformats.org/officeDocument/2006/relationships/hyperlink" Target="https://happy-amos.appspot.com/Courses"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6" t="s">
        <v>10</v>
      </c>
    </row>
    <row r="10">
      <c r="A10" s="4" t="s">
        <v>11</v>
      </c>
      <c r="B10" s="6" t="s">
        <v>12</v>
      </c>
    </row>
    <row r="11">
      <c r="A11" s="1"/>
      <c r="B11" s="3"/>
    </row>
    <row r="12">
      <c r="A12" s="4" t="s">
        <v>13</v>
      </c>
      <c r="B12" s="2" t="s">
        <v>14</v>
      </c>
    </row>
    <row r="13">
      <c r="A13" s="4" t="s">
        <v>15</v>
      </c>
      <c r="B13" s="2" t="s">
        <v>14</v>
      </c>
    </row>
    <row r="14">
      <c r="A14" s="1"/>
      <c r="B14" s="3"/>
    </row>
    <row r="15">
      <c r="A15" s="1" t="s">
        <v>16</v>
      </c>
      <c r="B15" s="6" t="s">
        <v>17</v>
      </c>
    </row>
    <row r="16">
      <c r="A16" s="1"/>
      <c r="B16" s="3"/>
    </row>
    <row r="17">
      <c r="A17" s="4" t="s">
        <v>18</v>
      </c>
      <c r="B17" s="2" t="s">
        <v>19</v>
      </c>
    </row>
    <row r="18">
      <c r="A18" s="1"/>
      <c r="B18" s="3"/>
    </row>
    <row r="19">
      <c r="A19" s="1"/>
      <c r="B19" s="6" t="s">
        <v>20</v>
      </c>
    </row>
    <row r="20">
      <c r="A20" s="1"/>
      <c r="B20" s="2" t="s">
        <v>21</v>
      </c>
    </row>
  </sheetData>
  <hyperlinks>
    <hyperlink r:id="rId1" ref="B3"/>
    <hyperlink r:id="rId2" ref="B8"/>
    <hyperlink r:id="rId3" ref="B9"/>
    <hyperlink r:id="rId4" ref="B10"/>
    <hyperlink r:id="rId5" ref="B15"/>
    <hyperlink r:id="rId6" ref="B19"/>
  </hyperlinks>
  <printOptions gridLines="1" horizontalCentered="1"/>
  <pageMargins bottom="0.75" footer="0.0" header="0.0" left="0.7" right="0.7" top="0.75"/>
  <pageSetup fitToHeight="0" paperSize="9" cellComments="atEnd" orientation="landscape" pageOrder="overThenDown"/>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22</v>
      </c>
      <c r="B1" s="7" t="s">
        <v>23</v>
      </c>
      <c r="C1" s="7" t="s">
        <v>24</v>
      </c>
      <c r="D1" s="7" t="s">
        <v>25</v>
      </c>
    </row>
    <row r="2">
      <c r="A2" s="8" t="s">
        <v>26</v>
      </c>
      <c r="B2" s="8" t="s">
        <v>27</v>
      </c>
      <c r="C2" s="8" t="s">
        <v>28</v>
      </c>
      <c r="D2" s="8" t="s">
        <v>29</v>
      </c>
    </row>
    <row r="3">
      <c r="A3" s="8" t="s">
        <v>30</v>
      </c>
      <c r="B3" s="8" t="s">
        <v>31</v>
      </c>
      <c r="C3" s="8" t="s">
        <v>32</v>
      </c>
      <c r="D3" s="8" t="s">
        <v>33</v>
      </c>
    </row>
    <row r="4">
      <c r="A4" s="8" t="s">
        <v>34</v>
      </c>
      <c r="B4" s="8" t="s">
        <v>35</v>
      </c>
      <c r="C4" s="8" t="s">
        <v>36</v>
      </c>
      <c r="D4" s="8" t="s">
        <v>37</v>
      </c>
    </row>
    <row r="5">
      <c r="A5" s="8" t="s">
        <v>38</v>
      </c>
      <c r="B5" s="8" t="s">
        <v>39</v>
      </c>
      <c r="C5" s="8" t="s">
        <v>40</v>
      </c>
      <c r="D5" s="8" t="s">
        <v>41</v>
      </c>
    </row>
    <row r="6">
      <c r="A6" s="8" t="s">
        <v>42</v>
      </c>
      <c r="B6" s="8" t="s">
        <v>43</v>
      </c>
      <c r="C6" s="8" t="s">
        <v>44</v>
      </c>
      <c r="D6" s="8" t="s">
        <v>45</v>
      </c>
    </row>
    <row r="7">
      <c r="A7" s="8" t="s">
        <v>46</v>
      </c>
      <c r="B7" s="8" t="s">
        <v>47</v>
      </c>
      <c r="C7" s="8" t="s">
        <v>48</v>
      </c>
      <c r="D7" s="8" t="s">
        <v>49</v>
      </c>
    </row>
    <row r="8">
      <c r="A8" s="8" t="s">
        <v>50</v>
      </c>
      <c r="B8" s="8" t="s">
        <v>51</v>
      </c>
      <c r="C8" s="8" t="s">
        <v>52</v>
      </c>
      <c r="D8" s="8" t="s">
        <v>53</v>
      </c>
    </row>
    <row r="9">
      <c r="A9" s="8" t="s">
        <v>54</v>
      </c>
      <c r="B9" s="8" t="s">
        <v>55</v>
      </c>
      <c r="C9" s="8" t="s">
        <v>56</v>
      </c>
      <c r="D9" s="8" t="s">
        <v>57</v>
      </c>
    </row>
    <row r="10">
      <c r="A10" s="8" t="s">
        <v>58</v>
      </c>
      <c r="B10" s="8" t="s">
        <v>59</v>
      </c>
      <c r="C10" s="8" t="s">
        <v>60</v>
      </c>
      <c r="D10" s="9" t="s">
        <v>61</v>
      </c>
    </row>
    <row r="11">
      <c r="A11" s="10"/>
      <c r="B11" s="8"/>
      <c r="C11" s="10"/>
      <c r="D11" s="10"/>
    </row>
    <row r="12">
      <c r="A12" s="10"/>
      <c r="B12" s="10"/>
      <c r="C12" s="10"/>
      <c r="D12" s="10"/>
    </row>
    <row r="13">
      <c r="A13" s="7"/>
      <c r="B13" s="11"/>
      <c r="C13" s="11"/>
      <c r="D13" s="11"/>
    </row>
    <row r="14">
      <c r="A14" s="10"/>
      <c r="B14" s="8"/>
      <c r="C14" s="10"/>
      <c r="D14" s="10"/>
    </row>
    <row r="15">
      <c r="A15" s="10"/>
      <c r="B15" s="8"/>
      <c r="C15" s="10"/>
      <c r="D15" s="10"/>
    </row>
    <row r="16">
      <c r="A16" s="10"/>
      <c r="B16" s="10"/>
      <c r="C16" s="10"/>
      <c r="D16" s="10"/>
    </row>
    <row r="17">
      <c r="A17" s="10"/>
      <c r="B17" s="10"/>
      <c r="C17" s="10"/>
      <c r="D17" s="10"/>
    </row>
    <row r="18">
      <c r="A18" s="10"/>
      <c r="B18" s="10"/>
      <c r="C18" s="10"/>
      <c r="D18" s="10"/>
    </row>
    <row r="19">
      <c r="A19" s="10"/>
      <c r="B19" s="10"/>
      <c r="C19" s="10"/>
      <c r="D19" s="10"/>
    </row>
    <row r="20">
      <c r="A20" s="10"/>
      <c r="B20" s="10"/>
      <c r="C20" s="10"/>
      <c r="D20" s="10"/>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2"/>
      <c r="B1" s="12"/>
      <c r="C1" s="12" t="s">
        <v>62</v>
      </c>
      <c r="E1" s="12"/>
      <c r="F1" s="13"/>
      <c r="G1" s="13"/>
      <c r="H1" s="12"/>
    </row>
    <row r="2">
      <c r="A2" s="14" t="s">
        <v>63</v>
      </c>
      <c r="B2" s="14" t="s">
        <v>64</v>
      </c>
      <c r="C2" s="14" t="s">
        <v>65</v>
      </c>
      <c r="D2" s="14" t="s">
        <v>66</v>
      </c>
      <c r="E2" s="14" t="s">
        <v>67</v>
      </c>
      <c r="F2" s="15" t="s">
        <v>68</v>
      </c>
      <c r="G2" s="15" t="s">
        <v>69</v>
      </c>
      <c r="H2" s="14" t="s">
        <v>70</v>
      </c>
    </row>
    <row r="3">
      <c r="A3" s="16">
        <v>1.0</v>
      </c>
      <c r="B3" s="17">
        <v>45952.0</v>
      </c>
      <c r="C3" s="8" t="s">
        <v>71</v>
      </c>
      <c r="D3" s="8" t="s">
        <v>72</v>
      </c>
      <c r="E3" s="8" t="s">
        <v>73</v>
      </c>
      <c r="F3" s="8" t="s">
        <v>74</v>
      </c>
      <c r="G3" s="8" t="s">
        <v>75</v>
      </c>
      <c r="H3" s="18" t="s">
        <v>76</v>
      </c>
    </row>
    <row r="4">
      <c r="A4" s="16">
        <v>2.0</v>
      </c>
      <c r="B4" s="19">
        <f t="shared" ref="B4:B11" si="1">B3+7</f>
        <v>45959</v>
      </c>
      <c r="C4" s="8" t="s">
        <v>72</v>
      </c>
      <c r="D4" s="8" t="s">
        <v>71</v>
      </c>
      <c r="E4" s="8" t="s">
        <v>73</v>
      </c>
      <c r="F4" s="8" t="s">
        <v>77</v>
      </c>
      <c r="G4" s="8" t="s">
        <v>75</v>
      </c>
      <c r="H4" s="20"/>
    </row>
    <row r="5">
      <c r="A5" s="16">
        <v>3.0</v>
      </c>
      <c r="B5" s="19">
        <f t="shared" si="1"/>
        <v>45966</v>
      </c>
      <c r="C5" s="8" t="s">
        <v>71</v>
      </c>
      <c r="D5" s="8" t="s">
        <v>72</v>
      </c>
      <c r="E5" s="8" t="s">
        <v>73</v>
      </c>
      <c r="F5" s="8" t="s">
        <v>78</v>
      </c>
      <c r="G5" s="8" t="s">
        <v>75</v>
      </c>
      <c r="H5" s="20"/>
    </row>
    <row r="6">
      <c r="A6" s="16">
        <v>4.0</v>
      </c>
      <c r="B6" s="19">
        <f t="shared" si="1"/>
        <v>45973</v>
      </c>
      <c r="C6" s="8" t="s">
        <v>72</v>
      </c>
      <c r="D6" s="8" t="s">
        <v>71</v>
      </c>
      <c r="E6" s="8" t="s">
        <v>73</v>
      </c>
      <c r="F6" s="8" t="s">
        <v>78</v>
      </c>
      <c r="G6" s="8" t="s">
        <v>75</v>
      </c>
      <c r="H6" s="20"/>
    </row>
    <row r="7">
      <c r="A7" s="16">
        <v>5.0</v>
      </c>
      <c r="B7" s="19">
        <f t="shared" si="1"/>
        <v>45980</v>
      </c>
      <c r="C7" s="8" t="s">
        <v>71</v>
      </c>
      <c r="D7" s="8" t="s">
        <v>72</v>
      </c>
      <c r="E7" s="8" t="s">
        <v>73</v>
      </c>
      <c r="F7" s="8" t="s">
        <v>77</v>
      </c>
      <c r="G7" s="8" t="s">
        <v>75</v>
      </c>
      <c r="H7" s="20"/>
    </row>
    <row r="8">
      <c r="A8" s="16">
        <v>6.0</v>
      </c>
      <c r="B8" s="19">
        <f t="shared" si="1"/>
        <v>45987</v>
      </c>
      <c r="C8" s="8" t="s">
        <v>72</v>
      </c>
      <c r="D8" s="8" t="s">
        <v>71</v>
      </c>
      <c r="E8" s="8" t="s">
        <v>73</v>
      </c>
      <c r="F8" s="8" t="s">
        <v>79</v>
      </c>
      <c r="G8" s="8" t="s">
        <v>75</v>
      </c>
      <c r="H8" s="20"/>
    </row>
    <row r="9">
      <c r="A9" s="16">
        <v>7.0</v>
      </c>
      <c r="B9" s="19">
        <f t="shared" si="1"/>
        <v>45994</v>
      </c>
      <c r="C9" s="8" t="s">
        <v>71</v>
      </c>
      <c r="D9" s="8" t="s">
        <v>72</v>
      </c>
      <c r="E9" s="8" t="s">
        <v>73</v>
      </c>
      <c r="F9" s="8" t="s">
        <v>79</v>
      </c>
      <c r="G9" s="8" t="s">
        <v>75</v>
      </c>
      <c r="H9" s="18" t="s">
        <v>80</v>
      </c>
    </row>
    <row r="10">
      <c r="A10" s="16">
        <v>8.0</v>
      </c>
      <c r="B10" s="19">
        <f t="shared" si="1"/>
        <v>46001</v>
      </c>
      <c r="C10" s="8" t="s">
        <v>72</v>
      </c>
      <c r="D10" s="8" t="s">
        <v>71</v>
      </c>
      <c r="E10" s="8" t="s">
        <v>73</v>
      </c>
      <c r="F10" s="8" t="s">
        <v>74</v>
      </c>
      <c r="G10" s="8" t="s">
        <v>75</v>
      </c>
      <c r="H10" s="20"/>
    </row>
    <row r="11">
      <c r="A11" s="16">
        <v>9.0</v>
      </c>
      <c r="B11" s="19">
        <f t="shared" si="1"/>
        <v>46008</v>
      </c>
      <c r="C11" s="8" t="s">
        <v>71</v>
      </c>
      <c r="D11" s="8" t="s">
        <v>72</v>
      </c>
      <c r="E11" s="8" t="s">
        <v>73</v>
      </c>
      <c r="F11" s="8" t="s">
        <v>81</v>
      </c>
      <c r="G11" s="8" t="s">
        <v>75</v>
      </c>
      <c r="H11" s="20"/>
    </row>
    <row r="12">
      <c r="A12" s="16">
        <v>10.0</v>
      </c>
      <c r="B12" s="17">
        <v>44937.0</v>
      </c>
      <c r="C12" s="8" t="s">
        <v>72</v>
      </c>
      <c r="D12" s="8" t="s">
        <v>71</v>
      </c>
      <c r="E12" s="8" t="s">
        <v>73</v>
      </c>
      <c r="F12" s="8" t="s">
        <v>81</v>
      </c>
      <c r="G12" s="8" t="s">
        <v>75</v>
      </c>
      <c r="H12" s="20"/>
    </row>
    <row r="13">
      <c r="A13" s="16">
        <v>11.0</v>
      </c>
      <c r="B13" s="19">
        <f t="shared" ref="B13:B17" si="2">B12+7</f>
        <v>44944</v>
      </c>
      <c r="C13" s="8" t="s">
        <v>71</v>
      </c>
      <c r="D13" s="8" t="s">
        <v>72</v>
      </c>
      <c r="E13" s="8" t="s">
        <v>73</v>
      </c>
      <c r="F13" s="10"/>
      <c r="G13" s="8" t="s">
        <v>75</v>
      </c>
      <c r="H13" s="20"/>
    </row>
    <row r="14">
      <c r="A14" s="16">
        <v>12.0</v>
      </c>
      <c r="B14" s="19">
        <f t="shared" si="2"/>
        <v>44951</v>
      </c>
      <c r="C14" s="8" t="s">
        <v>72</v>
      </c>
      <c r="D14" s="8" t="s">
        <v>71</v>
      </c>
      <c r="E14" s="8" t="s">
        <v>73</v>
      </c>
      <c r="F14" s="10"/>
      <c r="G14" s="8" t="s">
        <v>75</v>
      </c>
      <c r="H14" s="20"/>
    </row>
    <row r="15">
      <c r="A15" s="16">
        <v>13.0</v>
      </c>
      <c r="B15" s="19">
        <f t="shared" si="2"/>
        <v>44958</v>
      </c>
      <c r="C15" s="8" t="s">
        <v>71</v>
      </c>
      <c r="D15" s="8" t="s">
        <v>72</v>
      </c>
      <c r="E15" s="8" t="s">
        <v>73</v>
      </c>
      <c r="F15" s="10"/>
      <c r="G15" s="8" t="s">
        <v>75</v>
      </c>
      <c r="H15" s="20"/>
    </row>
    <row r="16">
      <c r="A16" s="16">
        <v>14.0</v>
      </c>
      <c r="B16" s="19">
        <f t="shared" si="2"/>
        <v>44965</v>
      </c>
      <c r="C16" s="8" t="s">
        <v>72</v>
      </c>
      <c r="D16" s="8" t="s">
        <v>71</v>
      </c>
      <c r="E16" s="8" t="s">
        <v>73</v>
      </c>
      <c r="F16" s="10"/>
      <c r="G16" s="8" t="s">
        <v>75</v>
      </c>
      <c r="H16" s="18" t="s">
        <v>82</v>
      </c>
    </row>
    <row r="17">
      <c r="A17" s="16">
        <v>15.0</v>
      </c>
      <c r="B17" s="19">
        <f t="shared" si="2"/>
        <v>44972</v>
      </c>
      <c r="C17" s="8" t="s">
        <v>71</v>
      </c>
      <c r="D17" s="8" t="s">
        <v>72</v>
      </c>
      <c r="E17" s="8" t="s">
        <v>73</v>
      </c>
      <c r="F17" s="10"/>
      <c r="G17" s="8" t="s">
        <v>75</v>
      </c>
      <c r="H17" s="18" t="s">
        <v>83</v>
      </c>
    </row>
    <row r="18">
      <c r="A18" s="16"/>
      <c r="B18" s="21"/>
      <c r="C18" s="10"/>
      <c r="D18" s="10"/>
      <c r="E18" s="10"/>
      <c r="F18" s="10"/>
      <c r="G18" s="10"/>
      <c r="H18" s="22"/>
    </row>
    <row r="19">
      <c r="A19" s="18" t="s">
        <v>84</v>
      </c>
      <c r="B19" s="23"/>
      <c r="C19" s="24"/>
      <c r="D19" s="24"/>
      <c r="E19" s="24"/>
      <c r="F19" s="24"/>
      <c r="G19" s="24"/>
      <c r="H19" s="22"/>
    </row>
    <row r="20">
      <c r="A20" s="24"/>
      <c r="B20" s="21"/>
      <c r="C20" s="10"/>
      <c r="D20" s="10"/>
      <c r="E20" s="10"/>
      <c r="F20" s="10"/>
      <c r="G20" s="10"/>
      <c r="H20" s="22"/>
    </row>
    <row r="21">
      <c r="A21" s="16"/>
      <c r="B21" s="21"/>
      <c r="C21" s="10"/>
      <c r="D21" s="10"/>
      <c r="E21" s="10"/>
      <c r="F21" s="10"/>
      <c r="G21" s="10"/>
      <c r="H21" s="22"/>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5" t="s">
        <v>85</v>
      </c>
      <c r="B1" s="26" t="s">
        <v>86</v>
      </c>
    </row>
    <row r="2">
      <c r="A2" s="27"/>
      <c r="B2" s="28"/>
    </row>
    <row r="3">
      <c r="A3" s="29" t="s">
        <v>87</v>
      </c>
      <c r="B3" s="26" t="s">
        <v>88</v>
      </c>
    </row>
    <row r="4">
      <c r="A4" s="27"/>
      <c r="B4" s="28"/>
    </row>
    <row r="5">
      <c r="A5" s="29" t="s">
        <v>89</v>
      </c>
      <c r="B5" s="26" t="s">
        <v>90</v>
      </c>
    </row>
    <row r="6">
      <c r="A6" s="27"/>
      <c r="B6" s="28"/>
    </row>
    <row r="7">
      <c r="A7" s="29" t="s">
        <v>91</v>
      </c>
      <c r="B7" s="26" t="s">
        <v>92</v>
      </c>
    </row>
    <row r="8">
      <c r="A8" s="27"/>
      <c r="B8" s="28"/>
    </row>
    <row r="9">
      <c r="A9" s="29" t="s">
        <v>93</v>
      </c>
      <c r="B9" s="26" t="s">
        <v>94</v>
      </c>
    </row>
    <row r="10">
      <c r="A10" s="27"/>
      <c r="B10" s="28"/>
    </row>
    <row r="11">
      <c r="A11" s="29" t="s">
        <v>95</v>
      </c>
      <c r="B11" s="30"/>
    </row>
    <row r="12">
      <c r="A12" s="28"/>
      <c r="B12" s="28"/>
    </row>
    <row r="13">
      <c r="A13" s="29" t="s">
        <v>96</v>
      </c>
      <c r="B13" s="30"/>
    </row>
    <row r="14">
      <c r="A14" s="28"/>
      <c r="B14" s="28"/>
    </row>
    <row r="15">
      <c r="A15" s="31" t="s">
        <v>97</v>
      </c>
      <c r="B15" s="26" t="s">
        <v>98</v>
      </c>
    </row>
    <row r="16">
      <c r="A16" s="28"/>
      <c r="B16" s="28"/>
    </row>
    <row r="17">
      <c r="A17" s="31" t="s">
        <v>99</v>
      </c>
      <c r="B17" s="26" t="s">
        <v>100</v>
      </c>
    </row>
    <row r="18">
      <c r="A18" s="28"/>
      <c r="B18" s="28"/>
    </row>
    <row r="19">
      <c r="A19" s="29" t="s">
        <v>101</v>
      </c>
      <c r="B19" s="31"/>
    </row>
    <row r="21">
      <c r="A21" s="32" t="s">
        <v>69</v>
      </c>
      <c r="B21" s="33" t="s">
        <v>75</v>
      </c>
    </row>
    <row r="22">
      <c r="A22" s="32" t="s">
        <v>102</v>
      </c>
      <c r="B22" s="33" t="s">
        <v>71</v>
      </c>
    </row>
    <row r="23">
      <c r="A23" s="32" t="s">
        <v>102</v>
      </c>
      <c r="B23" s="33" t="s">
        <v>72</v>
      </c>
    </row>
    <row r="24">
      <c r="A24" s="32" t="s">
        <v>103</v>
      </c>
      <c r="B24" s="33" t="s">
        <v>78</v>
      </c>
    </row>
    <row r="25">
      <c r="A25" s="32" t="s">
        <v>103</v>
      </c>
      <c r="B25" s="33" t="s">
        <v>79</v>
      </c>
    </row>
    <row r="26">
      <c r="A26" s="32" t="s">
        <v>103</v>
      </c>
      <c r="B26" s="33" t="s">
        <v>77</v>
      </c>
    </row>
    <row r="27">
      <c r="A27" s="32" t="s">
        <v>103</v>
      </c>
      <c r="B27" s="33" t="s">
        <v>74</v>
      </c>
    </row>
    <row r="28">
      <c r="A28" s="32" t="s">
        <v>103</v>
      </c>
      <c r="B28" s="33" t="s">
        <v>81</v>
      </c>
    </row>
    <row r="29">
      <c r="A29" s="32" t="s">
        <v>103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4" t="s">
        <v>104</v>
      </c>
      <c r="B1" s="34" t="s">
        <v>105</v>
      </c>
    </row>
    <row r="2">
      <c r="A2" s="35"/>
      <c r="B2" s="36"/>
    </row>
    <row r="3">
      <c r="A3" s="37" t="s">
        <v>106</v>
      </c>
      <c r="B3" s="37" t="s">
        <v>107</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8" t="s">
        <v>108</v>
      </c>
      <c r="B1" s="38" t="s">
        <v>109</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39" t="s">
        <v>110</v>
      </c>
      <c r="B1" s="4" t="s">
        <v>111</v>
      </c>
    </row>
    <row r="2">
      <c r="A2" s="40">
        <v>1.0</v>
      </c>
      <c r="B2" s="2" t="s">
        <v>112</v>
      </c>
    </row>
    <row r="3">
      <c r="A3" s="40">
        <f t="shared" ref="A3:A16" si="1">A2+1</f>
        <v>2</v>
      </c>
      <c r="B3" s="2"/>
    </row>
    <row r="4">
      <c r="A4" s="40">
        <f t="shared" si="1"/>
        <v>3</v>
      </c>
      <c r="B4" s="2"/>
    </row>
    <row r="5">
      <c r="A5" s="40">
        <f t="shared" si="1"/>
        <v>4</v>
      </c>
      <c r="B5" s="33"/>
    </row>
    <row r="6">
      <c r="A6" s="40">
        <f t="shared" si="1"/>
        <v>5</v>
      </c>
      <c r="B6" s="2"/>
    </row>
    <row r="7">
      <c r="A7" s="40">
        <f t="shared" si="1"/>
        <v>6</v>
      </c>
      <c r="B7" s="3"/>
    </row>
    <row r="8">
      <c r="A8" s="40">
        <f t="shared" si="1"/>
        <v>7</v>
      </c>
      <c r="B8" s="3"/>
    </row>
    <row r="9">
      <c r="A9" s="40">
        <f t="shared" si="1"/>
        <v>8</v>
      </c>
      <c r="B9" s="3"/>
    </row>
    <row r="10">
      <c r="A10" s="40">
        <f t="shared" si="1"/>
        <v>9</v>
      </c>
      <c r="B10" s="3"/>
    </row>
    <row r="11">
      <c r="A11" s="40">
        <f t="shared" si="1"/>
        <v>10</v>
      </c>
      <c r="B11" s="3"/>
    </row>
    <row r="12">
      <c r="A12" s="40">
        <f t="shared" si="1"/>
        <v>11</v>
      </c>
      <c r="B12" s="3"/>
    </row>
    <row r="13">
      <c r="A13" s="40">
        <f t="shared" si="1"/>
        <v>12</v>
      </c>
      <c r="B13" s="3"/>
    </row>
    <row r="14">
      <c r="A14" s="40">
        <f t="shared" si="1"/>
        <v>13</v>
      </c>
      <c r="B14" s="3"/>
    </row>
    <row r="15">
      <c r="A15" s="40">
        <f t="shared" si="1"/>
        <v>14</v>
      </c>
      <c r="B15" s="3"/>
    </row>
    <row r="16">
      <c r="A16" s="40">
        <f t="shared" si="1"/>
        <v>15</v>
      </c>
      <c r="B16" s="3"/>
    </row>
    <row r="17">
      <c r="A17" s="40"/>
      <c r="B17" s="3"/>
    </row>
    <row r="18">
      <c r="A18" s="40"/>
      <c r="B18" s="3"/>
    </row>
    <row r="19">
      <c r="A19" s="41"/>
      <c r="B19" s="3"/>
    </row>
    <row r="20">
      <c r="A20" s="41"/>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39" t="s">
        <v>110</v>
      </c>
      <c r="B1" s="4" t="s">
        <v>113</v>
      </c>
    </row>
    <row r="2">
      <c r="A2" s="40">
        <v>1.0</v>
      </c>
      <c r="B2" s="2"/>
    </row>
    <row r="3">
      <c r="A3" s="40">
        <f t="shared" ref="A3:A16" si="1">A2+1</f>
        <v>2</v>
      </c>
      <c r="B3" s="2"/>
    </row>
    <row r="4">
      <c r="A4" s="40">
        <f t="shared" si="1"/>
        <v>3</v>
      </c>
      <c r="B4" s="2"/>
    </row>
    <row r="5">
      <c r="A5" s="40">
        <f t="shared" si="1"/>
        <v>4</v>
      </c>
    </row>
    <row r="6">
      <c r="A6" s="40">
        <f t="shared" si="1"/>
        <v>5</v>
      </c>
      <c r="B6" s="2"/>
    </row>
    <row r="7">
      <c r="A7" s="40">
        <f t="shared" si="1"/>
        <v>6</v>
      </c>
      <c r="B7" s="3"/>
    </row>
    <row r="8">
      <c r="A8" s="40">
        <f t="shared" si="1"/>
        <v>7</v>
      </c>
      <c r="B8" s="3"/>
    </row>
    <row r="9">
      <c r="A9" s="40">
        <f t="shared" si="1"/>
        <v>8</v>
      </c>
      <c r="B9" s="3"/>
    </row>
    <row r="10">
      <c r="A10" s="40">
        <f t="shared" si="1"/>
        <v>9</v>
      </c>
      <c r="B10" s="3"/>
    </row>
    <row r="11">
      <c r="A11" s="40">
        <f t="shared" si="1"/>
        <v>10</v>
      </c>
      <c r="B11" s="3"/>
    </row>
    <row r="12">
      <c r="A12" s="40">
        <f t="shared" si="1"/>
        <v>11</v>
      </c>
      <c r="B12" s="3"/>
    </row>
    <row r="13">
      <c r="A13" s="40">
        <f t="shared" si="1"/>
        <v>12</v>
      </c>
      <c r="B13" s="3"/>
    </row>
    <row r="14">
      <c r="A14" s="40">
        <f t="shared" si="1"/>
        <v>13</v>
      </c>
      <c r="B14" s="3"/>
    </row>
    <row r="15">
      <c r="A15" s="40">
        <f t="shared" si="1"/>
        <v>14</v>
      </c>
      <c r="B15" s="3"/>
    </row>
    <row r="16">
      <c r="A16" s="40">
        <f t="shared" si="1"/>
        <v>15</v>
      </c>
      <c r="B16" s="3"/>
    </row>
    <row r="17">
      <c r="A17" s="40"/>
      <c r="B17" s="3"/>
    </row>
    <row r="18">
      <c r="A18" s="40"/>
      <c r="B18" s="42" t="s">
        <v>114</v>
      </c>
    </row>
    <row r="19">
      <c r="A19" s="41"/>
      <c r="B19" s="3"/>
    </row>
    <row r="20">
      <c r="A20" s="41"/>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3" t="s">
        <v>115</v>
      </c>
      <c r="B1" s="44" t="s">
        <v>116</v>
      </c>
      <c r="C1" s="45" t="s">
        <v>117</v>
      </c>
      <c r="D1" s="46" t="s">
        <v>118</v>
      </c>
      <c r="E1" s="46" t="s">
        <v>119</v>
      </c>
      <c r="F1" s="46" t="s">
        <v>120</v>
      </c>
      <c r="G1" s="46" t="s">
        <v>121</v>
      </c>
    </row>
    <row r="2">
      <c r="A2" s="47"/>
      <c r="B2" s="48"/>
      <c r="C2" s="30"/>
      <c r="D2" s="30"/>
      <c r="E2" s="30"/>
      <c r="F2" s="30"/>
      <c r="G2" s="30"/>
    </row>
    <row r="3">
      <c r="A3" s="49" t="s">
        <v>122</v>
      </c>
      <c r="B3" s="50"/>
      <c r="C3" s="51"/>
      <c r="D3" s="51"/>
      <c r="E3" s="51"/>
      <c r="F3" s="51"/>
      <c r="G3" s="51"/>
    </row>
    <row r="4">
      <c r="A4" s="47"/>
      <c r="B4" s="48"/>
      <c r="C4" s="30"/>
      <c r="D4" s="30"/>
      <c r="E4" s="30"/>
      <c r="F4" s="30"/>
      <c r="G4" s="30"/>
    </row>
    <row r="5">
      <c r="A5" s="52" t="s">
        <v>123</v>
      </c>
      <c r="B5" s="53"/>
      <c r="C5" s="28"/>
      <c r="D5" s="54">
        <f>sum(D8:D13)</f>
        <v>0</v>
      </c>
      <c r="E5" s="54">
        <f>D5</f>
        <v>0</v>
      </c>
      <c r="F5" s="28"/>
      <c r="G5" s="28"/>
    </row>
    <row r="6">
      <c r="A6" s="47"/>
      <c r="B6" s="48"/>
      <c r="C6" s="30"/>
      <c r="D6" s="30"/>
      <c r="E6" s="30"/>
      <c r="F6" s="30"/>
      <c r="G6" s="30"/>
    </row>
    <row r="7">
      <c r="A7" s="55" t="s">
        <v>124</v>
      </c>
      <c r="B7" s="56"/>
      <c r="C7" s="57"/>
      <c r="D7" s="57"/>
      <c r="E7" s="57"/>
      <c r="F7" s="57"/>
      <c r="G7" s="57"/>
    </row>
    <row r="8">
      <c r="A8" s="47"/>
      <c r="B8" s="48"/>
      <c r="C8" s="30"/>
      <c r="D8" s="30"/>
      <c r="E8" s="58" t="s">
        <v>125</v>
      </c>
      <c r="F8" s="30"/>
      <c r="G8" s="58" t="s">
        <v>126</v>
      </c>
    </row>
    <row r="9">
      <c r="A9" s="59">
        <v>1.0</v>
      </c>
      <c r="B9" s="52"/>
      <c r="C9" s="28"/>
      <c r="D9" s="54">
        <f>sum(D16:D21)</f>
        <v>0</v>
      </c>
      <c r="E9" s="54">
        <f>$D$5</f>
        <v>0</v>
      </c>
      <c r="F9" s="54">
        <f>sum(F16:F21)</f>
        <v>0</v>
      </c>
      <c r="G9" s="54">
        <f>$D$5</f>
        <v>0</v>
      </c>
    </row>
    <row r="10">
      <c r="A10" s="47">
        <f t="shared" ref="A10:A11" si="1">A9+1</f>
        <v>2</v>
      </c>
      <c r="B10" s="48"/>
      <c r="C10" s="30"/>
      <c r="D10" s="60">
        <f>sum(D22:D27)</f>
        <v>0</v>
      </c>
      <c r="E10" s="60">
        <f t="shared" ref="E10:E12" si="2">E9-D9</f>
        <v>0</v>
      </c>
      <c r="F10" s="60">
        <f>sum(F22:F27)</f>
        <v>0</v>
      </c>
      <c r="G10" s="60">
        <f t="shared" ref="G10:G12" si="3">G9-F9</f>
        <v>0</v>
      </c>
    </row>
    <row r="11">
      <c r="A11" s="59">
        <f t="shared" si="1"/>
        <v>3</v>
      </c>
      <c r="B11" s="52"/>
      <c r="C11" s="28"/>
      <c r="D11" s="54">
        <f>sum(D28:D33)</f>
        <v>0</v>
      </c>
      <c r="E11" s="54">
        <f t="shared" si="2"/>
        <v>0</v>
      </c>
      <c r="F11" s="54">
        <f>sum(F28:F33)</f>
        <v>0</v>
      </c>
      <c r="G11" s="54">
        <f t="shared" si="3"/>
        <v>0</v>
      </c>
    </row>
    <row r="12">
      <c r="A12" s="61" t="s">
        <v>127</v>
      </c>
      <c r="B12" s="62"/>
      <c r="C12" s="30"/>
      <c r="D12" s="30"/>
      <c r="E12" s="60">
        <f t="shared" si="2"/>
        <v>0</v>
      </c>
      <c r="F12" s="30"/>
      <c r="G12" s="60">
        <f t="shared" si="3"/>
        <v>0</v>
      </c>
    </row>
    <row r="13">
      <c r="A13" s="59"/>
      <c r="B13" s="52"/>
      <c r="C13" s="28"/>
      <c r="D13" s="28"/>
      <c r="E13" s="28"/>
      <c r="F13" s="28"/>
      <c r="G13" s="28"/>
    </row>
    <row r="14">
      <c r="A14" s="63" t="s">
        <v>128</v>
      </c>
      <c r="B14" s="64"/>
      <c r="C14" s="65"/>
      <c r="D14" s="65"/>
      <c r="E14" s="65"/>
      <c r="F14" s="65"/>
      <c r="G14" s="65"/>
    </row>
    <row r="15">
      <c r="A15" s="59"/>
      <c r="B15" s="52"/>
      <c r="C15" s="28"/>
      <c r="D15" s="28"/>
      <c r="E15" s="28"/>
      <c r="F15" s="28"/>
      <c r="G15" s="28"/>
    </row>
    <row r="16">
      <c r="A16" s="66">
        <f t="shared" ref="A16:B16" si="4">A9</f>
        <v>1</v>
      </c>
      <c r="B16" s="67" t="str">
        <f t="shared" si="4"/>
        <v/>
      </c>
      <c r="C16" s="30"/>
      <c r="D16" s="30"/>
      <c r="E16" s="30"/>
      <c r="F16" s="30"/>
      <c r="G16" s="30"/>
    </row>
    <row r="17">
      <c r="A17" s="59"/>
      <c r="B17" s="68"/>
      <c r="C17" s="28"/>
      <c r="D17" s="28"/>
      <c r="E17" s="28"/>
      <c r="F17" s="28"/>
      <c r="G17" s="28"/>
    </row>
    <row r="18">
      <c r="A18" s="47"/>
      <c r="B18" s="48"/>
      <c r="C18" s="62"/>
      <c r="D18" s="69"/>
      <c r="E18" s="48"/>
      <c r="F18" s="69"/>
      <c r="G18" s="48"/>
    </row>
    <row r="19">
      <c r="A19" s="59"/>
      <c r="B19" s="68"/>
      <c r="C19" s="28"/>
      <c r="D19" s="54"/>
      <c r="E19" s="28"/>
      <c r="F19" s="54"/>
      <c r="G19" s="28"/>
    </row>
    <row r="20">
      <c r="A20" s="70"/>
      <c r="B20" s="62"/>
      <c r="C20" s="62"/>
      <c r="D20" s="60"/>
      <c r="E20" s="62"/>
      <c r="F20" s="60"/>
      <c r="G20" s="62"/>
    </row>
    <row r="21">
      <c r="A21" s="59"/>
      <c r="B21" s="68"/>
      <c r="C21" s="28"/>
      <c r="D21" s="54"/>
      <c r="E21" s="28"/>
      <c r="F21" s="54"/>
      <c r="G21" s="28"/>
    </row>
    <row r="22">
      <c r="A22" s="66">
        <f t="shared" ref="A22:B22" si="5">A10</f>
        <v>2</v>
      </c>
      <c r="B22" s="67" t="str">
        <f t="shared" si="5"/>
        <v/>
      </c>
      <c r="C22" s="30"/>
      <c r="D22" s="30"/>
      <c r="E22" s="30"/>
      <c r="F22" s="30"/>
      <c r="G22" s="30"/>
    </row>
    <row r="23">
      <c r="A23" s="59"/>
      <c r="B23" s="68"/>
      <c r="C23" s="28"/>
      <c r="D23" s="28"/>
      <c r="E23" s="28"/>
      <c r="F23" s="28"/>
      <c r="G23" s="28"/>
    </row>
    <row r="24">
      <c r="A24" s="70"/>
      <c r="B24" s="62"/>
      <c r="C24" s="62"/>
      <c r="D24" s="60"/>
      <c r="E24" s="62"/>
      <c r="F24" s="60"/>
      <c r="G24" s="62"/>
    </row>
    <row r="25">
      <c r="A25" s="59"/>
      <c r="B25" s="68"/>
      <c r="C25" s="28"/>
      <c r="D25" s="54"/>
      <c r="E25" s="28"/>
      <c r="F25" s="54"/>
      <c r="G25" s="28"/>
    </row>
    <row r="26">
      <c r="A26" s="70"/>
      <c r="B26" s="62"/>
      <c r="C26" s="62"/>
      <c r="D26" s="60"/>
      <c r="E26" s="62"/>
      <c r="F26" s="60"/>
      <c r="G26" s="62"/>
    </row>
    <row r="27">
      <c r="A27" s="59"/>
      <c r="B27" s="68"/>
      <c r="C27" s="28"/>
      <c r="D27" s="54"/>
      <c r="E27" s="28"/>
      <c r="F27" s="54"/>
      <c r="G27" s="28"/>
    </row>
    <row r="28">
      <c r="A28" s="66">
        <f t="shared" ref="A28:B28" si="6">A11</f>
        <v>3</v>
      </c>
      <c r="B28" s="67" t="str">
        <f t="shared" si="6"/>
        <v/>
      </c>
      <c r="C28" s="30"/>
      <c r="D28" s="30"/>
      <c r="E28" s="30"/>
      <c r="F28" s="30"/>
      <c r="G28" s="30"/>
    </row>
    <row r="29">
      <c r="A29" s="59"/>
      <c r="B29" s="68"/>
      <c r="C29" s="28"/>
      <c r="D29" s="28"/>
      <c r="E29" s="28"/>
      <c r="F29" s="28"/>
      <c r="G29" s="28"/>
    </row>
    <row r="30">
      <c r="A30" s="70"/>
      <c r="B30" s="62"/>
      <c r="C30" s="62"/>
      <c r="D30" s="60"/>
      <c r="E30" s="62"/>
      <c r="F30" s="62"/>
      <c r="G30" s="62"/>
    </row>
    <row r="31">
      <c r="A31" s="59"/>
      <c r="B31" s="68"/>
      <c r="C31" s="28"/>
      <c r="D31" s="54"/>
      <c r="E31" s="28"/>
      <c r="F31" s="28"/>
      <c r="G31" s="28"/>
    </row>
    <row r="32">
      <c r="A32" s="70"/>
      <c r="B32" s="62"/>
      <c r="C32" s="30"/>
      <c r="D32" s="60"/>
      <c r="E32" s="62"/>
      <c r="F32" s="62"/>
      <c r="G32" s="62"/>
    </row>
    <row r="33">
      <c r="A33" s="59"/>
      <c r="B33" s="68"/>
      <c r="C33" s="71" t="s">
        <v>129</v>
      </c>
      <c r="D33" s="54"/>
      <c r="E33" s="28"/>
      <c r="F33" s="28"/>
      <c r="G33" s="28"/>
    </row>
    <row r="34">
      <c r="A34" s="70"/>
      <c r="B34" s="62"/>
      <c r="C34" s="30"/>
      <c r="D34" s="30"/>
      <c r="E34" s="30"/>
      <c r="F34" s="30"/>
      <c r="G34" s="30"/>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3" t="s">
        <v>115</v>
      </c>
      <c r="B1" s="72" t="s">
        <v>116</v>
      </c>
      <c r="C1" s="45" t="s">
        <v>117</v>
      </c>
      <c r="D1" s="46" t="s">
        <v>118</v>
      </c>
      <c r="E1" s="46" t="s">
        <v>119</v>
      </c>
      <c r="F1" s="46" t="s">
        <v>120</v>
      </c>
      <c r="G1" s="46" t="s">
        <v>121</v>
      </c>
    </row>
    <row r="2">
      <c r="A2" s="47"/>
      <c r="B2" s="30"/>
      <c r="C2" s="30"/>
      <c r="D2" s="30"/>
      <c r="E2" s="30"/>
      <c r="F2" s="30"/>
      <c r="G2" s="30"/>
    </row>
    <row r="3">
      <c r="A3" s="49" t="s">
        <v>122</v>
      </c>
      <c r="B3" s="51"/>
      <c r="C3" s="51"/>
      <c r="D3" s="51"/>
      <c r="E3" s="51"/>
      <c r="F3" s="51"/>
      <c r="G3" s="51"/>
    </row>
    <row r="4">
      <c r="A4" s="47"/>
      <c r="B4" s="30"/>
      <c r="C4" s="30"/>
      <c r="D4" s="30"/>
      <c r="E4" s="30"/>
      <c r="F4" s="30"/>
      <c r="G4" s="30"/>
    </row>
    <row r="5">
      <c r="A5" s="52" t="s">
        <v>123</v>
      </c>
      <c r="B5" s="28"/>
      <c r="C5" s="28"/>
      <c r="D5" s="54">
        <f>sum(D8:D13)</f>
        <v>0</v>
      </c>
      <c r="E5" s="54">
        <f>D5</f>
        <v>0</v>
      </c>
      <c r="F5" s="28"/>
      <c r="G5" s="28"/>
    </row>
    <row r="6">
      <c r="A6" s="47"/>
      <c r="B6" s="30"/>
      <c r="C6" s="30"/>
      <c r="D6" s="30"/>
      <c r="E6" s="30"/>
      <c r="F6" s="30"/>
      <c r="G6" s="30"/>
    </row>
    <row r="7">
      <c r="A7" s="55" t="s">
        <v>124</v>
      </c>
      <c r="B7" s="73"/>
      <c r="C7" s="57"/>
      <c r="D7" s="57"/>
      <c r="E7" s="57"/>
      <c r="F7" s="57"/>
      <c r="G7" s="57"/>
    </row>
    <row r="8">
      <c r="A8" s="47"/>
      <c r="B8" s="30"/>
      <c r="C8" s="30"/>
      <c r="D8" s="30"/>
      <c r="E8" s="58" t="s">
        <v>125</v>
      </c>
      <c r="F8" s="30"/>
      <c r="G8" s="58" t="s">
        <v>126</v>
      </c>
    </row>
    <row r="9">
      <c r="A9" s="59">
        <v>1.0</v>
      </c>
      <c r="B9" s="28"/>
      <c r="C9" s="28"/>
      <c r="D9" s="54">
        <f>sum(D16:D21)</f>
        <v>0</v>
      </c>
      <c r="E9" s="54">
        <f>$D$5</f>
        <v>0</v>
      </c>
      <c r="F9" s="54">
        <f>sum(F16:F21)</f>
        <v>0</v>
      </c>
      <c r="G9" s="54">
        <f>$D$5</f>
        <v>0</v>
      </c>
    </row>
    <row r="10">
      <c r="A10" s="47">
        <f t="shared" ref="A10:A11" si="1">A9+1</f>
        <v>2</v>
      </c>
      <c r="B10" s="30"/>
      <c r="C10" s="30"/>
      <c r="D10" s="60">
        <f>sum(D22:D27)</f>
        <v>0</v>
      </c>
      <c r="E10" s="60">
        <f t="shared" ref="E10:E12" si="2">E9-D9</f>
        <v>0</v>
      </c>
      <c r="F10" s="60">
        <f>sum(F22:F27)</f>
        <v>0</v>
      </c>
      <c r="G10" s="60">
        <f t="shared" ref="G10:G12" si="3">G9-F9</f>
        <v>0</v>
      </c>
    </row>
    <row r="11">
      <c r="A11" s="59">
        <f t="shared" si="1"/>
        <v>3</v>
      </c>
      <c r="B11" s="28"/>
      <c r="C11" s="28"/>
      <c r="D11" s="54">
        <f>sum(D28:D33)</f>
        <v>0</v>
      </c>
      <c r="E11" s="54">
        <f t="shared" si="2"/>
        <v>0</v>
      </c>
      <c r="F11" s="54">
        <f>sum(F28:F33)</f>
        <v>0</v>
      </c>
      <c r="G11" s="54">
        <f t="shared" si="3"/>
        <v>0</v>
      </c>
    </row>
    <row r="12">
      <c r="A12" s="61" t="s">
        <v>127</v>
      </c>
      <c r="B12" s="30"/>
      <c r="C12" s="30"/>
      <c r="D12" s="30"/>
      <c r="E12" s="60">
        <f t="shared" si="2"/>
        <v>0</v>
      </c>
      <c r="F12" s="30"/>
      <c r="G12" s="60">
        <f t="shared" si="3"/>
        <v>0</v>
      </c>
    </row>
    <row r="13">
      <c r="A13" s="59"/>
      <c r="B13" s="28"/>
      <c r="C13" s="28"/>
      <c r="D13" s="28"/>
      <c r="E13" s="28"/>
      <c r="F13" s="28"/>
      <c r="G13" s="28"/>
    </row>
    <row r="14">
      <c r="A14" s="63" t="s">
        <v>128</v>
      </c>
      <c r="B14" s="64"/>
      <c r="C14" s="65"/>
      <c r="D14" s="65"/>
      <c r="E14" s="65"/>
      <c r="F14" s="65"/>
      <c r="G14" s="65"/>
    </row>
    <row r="15">
      <c r="A15" s="59"/>
      <c r="B15" s="28"/>
      <c r="C15" s="28"/>
      <c r="D15" s="28"/>
      <c r="E15" s="28"/>
      <c r="F15" s="28"/>
      <c r="G15" s="28"/>
    </row>
    <row r="16">
      <c r="A16" s="66">
        <f>A9</f>
        <v>1</v>
      </c>
      <c r="B16" s="30"/>
      <c r="C16" s="30"/>
      <c r="D16" s="30"/>
      <c r="E16" s="30"/>
      <c r="F16" s="30"/>
      <c r="G16" s="30"/>
    </row>
    <row r="17">
      <c r="A17" s="59"/>
      <c r="B17" s="68"/>
      <c r="C17" s="28"/>
      <c r="D17" s="28"/>
      <c r="E17" s="28"/>
      <c r="F17" s="28"/>
      <c r="G17" s="28"/>
    </row>
    <row r="18">
      <c r="A18" s="47"/>
      <c r="B18" s="74"/>
      <c r="C18" s="62"/>
      <c r="D18" s="69"/>
      <c r="E18" s="48"/>
      <c r="F18" s="69"/>
      <c r="G18" s="48"/>
    </row>
    <row r="19">
      <c r="A19" s="59"/>
      <c r="B19" s="28"/>
      <c r="C19" s="28"/>
      <c r="D19" s="54"/>
      <c r="E19" s="28"/>
      <c r="F19" s="54"/>
      <c r="G19" s="28"/>
    </row>
    <row r="20">
      <c r="A20" s="70"/>
      <c r="B20" s="30"/>
      <c r="C20" s="62"/>
      <c r="D20" s="60"/>
      <c r="E20" s="62"/>
      <c r="F20" s="60"/>
      <c r="G20" s="62"/>
    </row>
    <row r="21">
      <c r="A21" s="59"/>
      <c r="B21" s="28"/>
      <c r="C21" s="28"/>
      <c r="D21" s="54"/>
      <c r="E21" s="28"/>
      <c r="F21" s="54"/>
      <c r="G21" s="28"/>
    </row>
    <row r="22">
      <c r="A22" s="66">
        <f>A10</f>
        <v>2</v>
      </c>
      <c r="B22" s="30"/>
      <c r="C22" s="30"/>
      <c r="D22" s="30"/>
      <c r="E22" s="30"/>
      <c r="F22" s="30"/>
      <c r="G22" s="30"/>
    </row>
    <row r="23">
      <c r="A23" s="59"/>
      <c r="B23" s="68"/>
      <c r="C23" s="28"/>
      <c r="D23" s="28"/>
      <c r="E23" s="28"/>
      <c r="F23" s="28"/>
      <c r="G23" s="28"/>
    </row>
    <row r="24">
      <c r="A24" s="70"/>
      <c r="B24" s="30"/>
      <c r="C24" s="62"/>
      <c r="D24" s="60"/>
      <c r="E24" s="62"/>
      <c r="F24" s="60"/>
      <c r="G24" s="62"/>
    </row>
    <row r="25">
      <c r="A25" s="59"/>
      <c r="B25" s="28"/>
      <c r="C25" s="28"/>
      <c r="D25" s="54"/>
      <c r="E25" s="28"/>
      <c r="F25" s="54"/>
      <c r="G25" s="28"/>
    </row>
    <row r="26">
      <c r="A26" s="70"/>
      <c r="B26" s="30"/>
      <c r="C26" s="62"/>
      <c r="D26" s="60"/>
      <c r="E26" s="62"/>
      <c r="F26" s="60"/>
      <c r="G26" s="62"/>
    </row>
    <row r="27">
      <c r="A27" s="59"/>
      <c r="B27" s="28"/>
      <c r="C27" s="28"/>
      <c r="D27" s="54"/>
      <c r="E27" s="28"/>
      <c r="F27" s="54"/>
      <c r="G27" s="28"/>
    </row>
    <row r="28">
      <c r="A28" s="66">
        <f>A11</f>
        <v>3</v>
      </c>
      <c r="B28" s="30"/>
      <c r="C28" s="30"/>
      <c r="D28" s="30"/>
      <c r="E28" s="30"/>
      <c r="F28" s="30"/>
      <c r="G28" s="30"/>
    </row>
    <row r="29">
      <c r="A29" s="59"/>
      <c r="B29" s="68"/>
      <c r="C29" s="28"/>
      <c r="D29" s="28"/>
      <c r="E29" s="28"/>
      <c r="F29" s="28"/>
      <c r="G29" s="28"/>
    </row>
    <row r="30">
      <c r="A30" s="70"/>
      <c r="B30" s="30"/>
      <c r="C30" s="62"/>
      <c r="D30" s="60"/>
      <c r="E30" s="62"/>
      <c r="F30" s="62"/>
      <c r="G30" s="62"/>
    </row>
    <row r="31">
      <c r="A31" s="59"/>
      <c r="B31" s="28"/>
      <c r="C31" s="28"/>
      <c r="D31" s="54"/>
      <c r="E31" s="28"/>
      <c r="F31" s="28"/>
      <c r="G31" s="28"/>
    </row>
    <row r="32">
      <c r="A32" s="70"/>
      <c r="B32" s="30"/>
      <c r="C32" s="30"/>
      <c r="D32" s="60"/>
      <c r="E32" s="62"/>
      <c r="F32" s="62"/>
      <c r="G32" s="62"/>
    </row>
    <row r="33">
      <c r="A33" s="59"/>
      <c r="B33" s="28"/>
      <c r="C33" s="71" t="s">
        <v>129</v>
      </c>
      <c r="D33" s="54"/>
      <c r="E33" s="28"/>
      <c r="F33" s="28"/>
      <c r="G33" s="28"/>
    </row>
    <row r="34">
      <c r="A34" s="70"/>
      <c r="B34" s="30"/>
      <c r="C34" s="30"/>
      <c r="D34" s="30"/>
      <c r="E34" s="30"/>
      <c r="F34" s="30"/>
      <c r="G34" s="30"/>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75" t="s">
        <v>63</v>
      </c>
      <c r="B1" s="44" t="s">
        <v>130</v>
      </c>
      <c r="C1" s="44" t="s">
        <v>131</v>
      </c>
      <c r="D1" s="76" t="s">
        <v>132</v>
      </c>
    </row>
    <row r="2">
      <c r="A2" s="3"/>
      <c r="B2" s="3"/>
      <c r="C2" s="3"/>
      <c r="D2" s="3"/>
    </row>
    <row r="3">
      <c r="A3" s="3"/>
      <c r="B3" s="3"/>
      <c r="C3" s="3"/>
      <c r="D3" s="3"/>
    </row>
    <row r="4">
      <c r="A4" s="3"/>
      <c r="B4" s="3"/>
      <c r="C4" s="3"/>
      <c r="D4" s="3"/>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133</v>
      </c>
      <c r="B1" s="4" t="s">
        <v>134</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7" t="s">
        <v>63</v>
      </c>
      <c r="B1" s="4" t="s">
        <v>135</v>
      </c>
      <c r="C1" s="4" t="s">
        <v>136</v>
      </c>
      <c r="D1" s="4" t="s">
        <v>137</v>
      </c>
      <c r="E1" s="4" t="s">
        <v>138</v>
      </c>
      <c r="F1" s="4" t="s">
        <v>70</v>
      </c>
    </row>
    <row r="2">
      <c r="A2" s="3"/>
      <c r="B2" s="3"/>
      <c r="C2" s="3"/>
      <c r="D2" s="3"/>
      <c r="E2" s="3"/>
      <c r="F2" s="3"/>
    </row>
    <row r="3">
      <c r="A3" s="3"/>
      <c r="B3" s="3"/>
      <c r="C3" s="3"/>
      <c r="D3" s="3"/>
      <c r="E3" s="3"/>
      <c r="F3" s="3"/>
    </row>
    <row r="4">
      <c r="A4" s="3"/>
      <c r="B4" s="3"/>
      <c r="C4" s="3"/>
      <c r="D4" s="3"/>
      <c r="E4" s="3"/>
      <c r="F4" s="3"/>
    </row>
    <row r="5">
      <c r="A5" s="3"/>
      <c r="B5" s="3"/>
      <c r="C5" s="3"/>
      <c r="D5" s="3"/>
      <c r="E5" s="3"/>
      <c r="F5" s="3"/>
    </row>
    <row r="6">
      <c r="A6" s="3"/>
      <c r="B6" s="3"/>
      <c r="C6" s="3"/>
      <c r="D6" s="3"/>
      <c r="E6" s="3"/>
      <c r="F6" s="3"/>
    </row>
    <row r="7">
      <c r="A7" s="3"/>
      <c r="B7" s="3"/>
      <c r="C7" s="3"/>
      <c r="D7" s="3"/>
      <c r="E7" s="3"/>
      <c r="F7" s="3"/>
    </row>
    <row r="8">
      <c r="A8" s="3"/>
      <c r="B8" s="3"/>
      <c r="C8" s="3"/>
      <c r="D8" s="3"/>
      <c r="E8" s="3"/>
      <c r="F8" s="3"/>
    </row>
    <row r="9">
      <c r="A9" s="3"/>
      <c r="B9" s="3"/>
      <c r="C9" s="3"/>
      <c r="D9" s="3"/>
      <c r="E9" s="3"/>
      <c r="F9" s="3"/>
    </row>
    <row r="10">
      <c r="A10" s="3"/>
      <c r="B10" s="3"/>
      <c r="C10" s="3"/>
      <c r="D10" s="3"/>
      <c r="E10" s="3"/>
      <c r="F10" s="3"/>
    </row>
    <row r="11">
      <c r="A11" s="3"/>
      <c r="B11" s="3"/>
      <c r="C11" s="3"/>
      <c r="D11" s="3"/>
      <c r="E11" s="3"/>
      <c r="F11" s="3"/>
    </row>
    <row r="12">
      <c r="A12" s="3"/>
      <c r="B12" s="3"/>
      <c r="C12" s="3"/>
      <c r="D12" s="3"/>
      <c r="E12" s="3"/>
      <c r="F12" s="3"/>
    </row>
    <row r="13">
      <c r="A13" s="3"/>
      <c r="B13" s="3"/>
      <c r="C13" s="3"/>
      <c r="D13" s="3"/>
      <c r="E13" s="3"/>
      <c r="F13" s="3"/>
    </row>
    <row r="14">
      <c r="A14" s="3"/>
      <c r="B14" s="3"/>
      <c r="C14" s="3"/>
      <c r="D14" s="3"/>
      <c r="E14" s="3"/>
      <c r="F14" s="3"/>
    </row>
    <row r="15">
      <c r="A15" s="3"/>
      <c r="B15" s="3"/>
      <c r="C15" s="3"/>
      <c r="D15" s="3"/>
      <c r="E15" s="3"/>
      <c r="F15" s="3"/>
    </row>
    <row r="16">
      <c r="A16" s="3"/>
      <c r="B16" s="3"/>
      <c r="C16" s="3"/>
      <c r="D16" s="3"/>
      <c r="E16" s="3"/>
      <c r="F16" s="3"/>
    </row>
    <row r="17">
      <c r="A17" s="3"/>
      <c r="B17" s="3"/>
      <c r="C17" s="3"/>
      <c r="D17" s="3"/>
      <c r="E17" s="3"/>
      <c r="F17" s="3"/>
    </row>
    <row r="18">
      <c r="A18" s="3"/>
      <c r="B18" s="3"/>
      <c r="C18" s="3"/>
      <c r="D18" s="3"/>
      <c r="E18" s="3"/>
      <c r="F18" s="3"/>
    </row>
    <row r="19">
      <c r="A19" s="3"/>
      <c r="B19" s="3"/>
      <c r="C19" s="3"/>
      <c r="D19" s="3"/>
      <c r="E19" s="3"/>
      <c r="F19" s="3"/>
    </row>
    <row r="20">
      <c r="A20" s="3"/>
      <c r="B20" s="3"/>
      <c r="C20" s="3"/>
      <c r="D20" s="3"/>
      <c r="E20" s="3"/>
      <c r="F20" s="3"/>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77" t="str">
        <f>'Project Team'!A1</f>
        <v>Last Name</v>
      </c>
      <c r="B1" s="77" t="str">
        <f>'Project Team'!B1</f>
        <v>First Name</v>
      </c>
      <c r="C1" s="78" t="s">
        <v>139</v>
      </c>
      <c r="D1" s="79"/>
      <c r="E1" s="80"/>
      <c r="F1" s="81"/>
      <c r="G1" s="82"/>
      <c r="H1" s="82"/>
    </row>
    <row r="2">
      <c r="A2" s="83" t="str">
        <f>'Project Team'!A2</f>
        <v>Hilgers</v>
      </c>
      <c r="B2" s="83" t="str">
        <f>'Project Team'!B2</f>
        <v>Felix</v>
      </c>
      <c r="C2" s="84">
        <v>5.0</v>
      </c>
      <c r="D2" s="85"/>
      <c r="E2" s="86">
        <f>average(C2:C10)</f>
        <v>5</v>
      </c>
      <c r="F2" s="87" t="str">
        <f>if(stdev(C2:C7) &gt; 0,"NOK", "OK")</f>
        <v>OK</v>
      </c>
      <c r="G2" s="88"/>
      <c r="H2" s="88"/>
    </row>
    <row r="3">
      <c r="A3" s="89" t="str">
        <f>'Project Team'!A3</f>
        <v>Khan</v>
      </c>
      <c r="B3" s="89" t="str">
        <f>'Project Team'!B3</f>
        <v>Muhamad</v>
      </c>
      <c r="C3" s="84">
        <v>5.0</v>
      </c>
      <c r="D3" s="90"/>
      <c r="G3" s="91"/>
      <c r="H3" s="91"/>
    </row>
    <row r="4">
      <c r="A4" s="83" t="str">
        <f>'Project Team'!A4</f>
        <v>Samdani</v>
      </c>
      <c r="B4" s="83" t="str">
        <f>'Project Team'!B4</f>
        <v>Sarib</v>
      </c>
      <c r="C4" s="92"/>
      <c r="D4" s="85"/>
      <c r="G4" s="88"/>
      <c r="H4" s="88"/>
    </row>
    <row r="5">
      <c r="A5" s="89" t="str">
        <f>'Project Team'!A5</f>
        <v>Chinbat</v>
      </c>
      <c r="B5" s="89" t="str">
        <f>'Project Team'!B5</f>
        <v>Anuun</v>
      </c>
      <c r="C5" s="93"/>
      <c r="D5" s="94"/>
      <c r="E5" s="94"/>
      <c r="F5" s="94"/>
      <c r="G5" s="91"/>
      <c r="H5" s="91"/>
    </row>
    <row r="6">
      <c r="A6" s="83" t="str">
        <f>'Project Team'!A6</f>
        <v>Goldschmidt</v>
      </c>
      <c r="B6" s="83" t="str">
        <f>'Project Team'!B6</f>
        <v>Georgina</v>
      </c>
      <c r="C6" s="92"/>
      <c r="D6" s="95"/>
      <c r="E6" s="96">
        <v>0.0</v>
      </c>
      <c r="F6" s="97" t="s">
        <v>140</v>
      </c>
      <c r="G6" s="88"/>
      <c r="H6" s="88"/>
    </row>
    <row r="7">
      <c r="A7" s="89" t="str">
        <f>'Project Team'!A7</f>
        <v>Zinn</v>
      </c>
      <c r="B7" s="89" t="str">
        <f>'Project Team'!B7</f>
        <v>Benedikt</v>
      </c>
      <c r="C7" s="92"/>
      <c r="D7" s="94"/>
      <c r="E7" s="96">
        <v>1.0</v>
      </c>
      <c r="F7" s="97" t="s">
        <v>141</v>
      </c>
      <c r="G7" s="91"/>
      <c r="H7" s="91"/>
    </row>
    <row r="8">
      <c r="A8" s="83" t="str">
        <f>'Project Team'!A8</f>
        <v>Badura</v>
      </c>
      <c r="B8" s="83" t="str">
        <f>'Project Team'!B8</f>
        <v>Emil</v>
      </c>
      <c r="C8" s="93"/>
      <c r="D8" s="95"/>
      <c r="E8" s="96">
        <v>2.0</v>
      </c>
      <c r="F8" s="97" t="s">
        <v>142</v>
      </c>
      <c r="G8" s="88"/>
      <c r="H8" s="88"/>
    </row>
    <row r="9">
      <c r="A9" s="89" t="str">
        <f>'Project Team'!A9</f>
        <v>Assenbaum</v>
      </c>
      <c r="B9" s="89" t="str">
        <f>'Project Team'!B9</f>
        <v>Paul</v>
      </c>
      <c r="C9" s="93"/>
      <c r="D9" s="94"/>
      <c r="E9" s="96">
        <v>3.0</v>
      </c>
      <c r="F9" s="97" t="s">
        <v>143</v>
      </c>
      <c r="G9" s="91"/>
      <c r="H9" s="91"/>
    </row>
    <row r="10">
      <c r="A10" s="83" t="str">
        <f>'Project Team'!A10</f>
        <v>Mantsch</v>
      </c>
      <c r="B10" s="83" t="str">
        <f>'Project Team'!B10</f>
        <v>Christoph</v>
      </c>
      <c r="C10" s="93"/>
      <c r="D10" s="95"/>
      <c r="E10" s="96">
        <v>5.0</v>
      </c>
      <c r="F10" s="97" t="s">
        <v>144</v>
      </c>
      <c r="G10" s="88"/>
      <c r="H10" s="88"/>
    </row>
    <row r="11">
      <c r="A11" s="89"/>
      <c r="B11" s="89"/>
      <c r="C11" s="92"/>
      <c r="D11" s="94"/>
      <c r="E11" s="96">
        <v>8.0</v>
      </c>
      <c r="F11" s="97" t="s">
        <v>145</v>
      </c>
      <c r="G11" s="91"/>
      <c r="H11" s="91"/>
    </row>
    <row r="12">
      <c r="A12" s="83"/>
      <c r="B12" s="83"/>
      <c r="C12" s="92"/>
      <c r="D12" s="95"/>
      <c r="E12" s="96">
        <v>13.0</v>
      </c>
      <c r="F12" s="97" t="s">
        <v>146</v>
      </c>
      <c r="G12" s="88"/>
      <c r="H12" s="88"/>
    </row>
    <row r="13">
      <c r="A13" s="89"/>
      <c r="B13" s="89"/>
      <c r="C13" s="94"/>
      <c r="D13" s="94"/>
      <c r="E13" s="94"/>
      <c r="F13" s="94"/>
      <c r="G13" s="91"/>
      <c r="H13" s="91"/>
    </row>
    <row r="14">
      <c r="A14" s="98" t="s">
        <v>147</v>
      </c>
      <c r="B14" s="99"/>
      <c r="C14" s="99"/>
      <c r="D14" s="99"/>
      <c r="E14" s="99"/>
      <c r="F14" s="99"/>
      <c r="G14" s="99"/>
      <c r="H14" s="99"/>
    </row>
    <row r="15">
      <c r="A15" s="100"/>
      <c r="B15" s="100"/>
      <c r="C15" s="100"/>
      <c r="D15" s="100"/>
      <c r="E15" s="100"/>
      <c r="F15" s="100"/>
      <c r="G15" s="100"/>
      <c r="H15" s="100"/>
    </row>
    <row r="16">
      <c r="A16" s="101" t="s">
        <v>148</v>
      </c>
      <c r="B16" s="102"/>
      <c r="C16" s="102"/>
      <c r="D16" s="102"/>
      <c r="E16" s="102"/>
      <c r="F16" s="102"/>
      <c r="G16" s="102"/>
      <c r="H16" s="102"/>
    </row>
    <row r="17">
      <c r="A17" s="103" t="s">
        <v>149</v>
      </c>
      <c r="B17" s="100"/>
      <c r="C17" s="100"/>
      <c r="D17" s="100"/>
      <c r="E17" s="100"/>
      <c r="F17" s="100"/>
      <c r="G17" s="100"/>
      <c r="H17" s="100"/>
    </row>
    <row r="18">
      <c r="A18" s="101" t="s">
        <v>150</v>
      </c>
      <c r="B18" s="102"/>
      <c r="C18" s="102"/>
      <c r="D18" s="102"/>
      <c r="E18" s="102"/>
      <c r="F18" s="102"/>
      <c r="G18" s="102"/>
      <c r="H18" s="102"/>
    </row>
    <row r="19">
      <c r="A19" s="100"/>
      <c r="B19" s="100"/>
      <c r="C19" s="100"/>
      <c r="D19" s="100"/>
      <c r="E19" s="100"/>
      <c r="F19" s="100"/>
      <c r="G19" s="100"/>
      <c r="H19" s="100"/>
    </row>
    <row r="20">
      <c r="A20" s="102"/>
      <c r="B20" s="102"/>
      <c r="C20" s="102"/>
      <c r="D20" s="102"/>
      <c r="E20" s="102"/>
      <c r="F20" s="102"/>
      <c r="G20" s="102"/>
      <c r="H20" s="102"/>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