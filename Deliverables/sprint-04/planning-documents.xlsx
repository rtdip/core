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3"/>
    <sheet state="visible" name="Project Team" sheetId="2" r:id="rId4"/>
    <sheet state="visible" name="Role Assignments" sheetId="3" r:id="rId5"/>
    <sheet state="visible" name="Team Contract" sheetId="4" r:id="rId6"/>
    <sheet state="visible" name="Product Goal" sheetId="5" r:id="rId7"/>
    <sheet state="visible" name="Product Glossary" sheetId="6" r:id="rId8"/>
    <sheet state="visible" name="Sprint Goals" sheetId="7" r:id="rId9"/>
    <sheet state="visible" name="Velocity Tracking" sheetId="8" r:id="rId10"/>
    <sheet state="visible" name="Mid-Project Release plan" sheetId="9" r:id="rId11"/>
    <sheet state="visible" name="Final Project Release plan" sheetId="10" r:id="rId12"/>
    <sheet state="visible" name="Definition of Done" sheetId="11" r:id="rId13"/>
    <sheet state="visible" name="Documentation" sheetId="12" r:id="rId14"/>
    <sheet state="visible" name="Bill of Materials" sheetId="13" r:id="rId15"/>
    <sheet state="visible" name="Planning Poker" sheetId="14" r:id="rId16"/>
  </sheets>
  <definedNames/>
  <calcPr/>
</workbook>
</file>

<file path=xl/sharedStrings.xml><?xml version="1.0" encoding="utf-8"?>
<sst xmlns="http://schemas.openxmlformats.org/spreadsheetml/2006/main" count="442" uniqueCount="295">
  <si>
    <t>Project Name</t>
  </si>
  <si>
    <t>RTDIP Timeseries Forecasting</t>
  </si>
  <si>
    <t>Online team meeting</t>
  </si>
  <si>
    <t>https://fau.zoom-x.de/j/65502405196?pwd=8H73lyixQfqKrnO8Eb47kawnuKCnGp.1</t>
  </si>
  <si>
    <t>Production system (if any)</t>
  </si>
  <si>
    <t>Test system (if any)</t>
  </si>
  <si>
    <t>GitHub repository</t>
  </si>
  <si>
    <t>https://github.com/amosproj/amos2025ws03-rtdip-timeseries-forecasting</t>
  </si>
  <si>
    <t>GitHub feature board</t>
  </si>
  <si>
    <t>https://github.com/orgs/amosproj/projects/91/</t>
  </si>
  <si>
    <t>GitHub imp-squared backlog</t>
  </si>
  <si>
    <t>https://github.com/orgs/amosproj/projects/96</t>
  </si>
  <si>
    <t>Team T-shirt (white)</t>
  </si>
  <si>
    <t>https://www.shirtinator.de/s/QWcDXTKGS72ISnrRNZq1hg</t>
  </si>
  <si>
    <t>Team T-shirt (black)</t>
  </si>
  <si>
    <t>https://www.shirtinator.de/s/0yx3duRjSzW-5hP32KmZ1w</t>
  </si>
  <si>
    <t>Additional materials</t>
  </si>
  <si>
    <t>https://discord.gg/KJXGmjcs</t>
  </si>
  <si>
    <t>Team maling list</t>
  </si>
  <si>
    <t>oss-amos-projX@lists.fau.de</t>
  </si>
  <si>
    <t>Happines Index App</t>
  </si>
  <si>
    <t>https://happy-amos.appspot.com/Courses</t>
  </si>
  <si>
    <t>Last Name</t>
  </si>
  <si>
    <t>First Name</t>
  </si>
  <si>
    <t>GitHub User Name</t>
  </si>
  <si>
    <t>Email Address</t>
  </si>
  <si>
    <t>Böhm</t>
  </si>
  <si>
    <t>Luca</t>
  </si>
  <si>
    <t>qw3rat</t>
  </si>
  <si>
    <t>luca.boehm@fau.de</t>
  </si>
  <si>
    <t>Meusling</t>
  </si>
  <si>
    <t>Patrick</t>
  </si>
  <si>
    <t>SirGankalot</t>
  </si>
  <si>
    <t>meusling@campus.tu-berlin.de</t>
  </si>
  <si>
    <t>Arifin</t>
  </si>
  <si>
    <t>Hafidz</t>
  </si>
  <si>
    <t>zenzeii</t>
  </si>
  <si>
    <t>h.arifin@campus.tu-berlin.de</t>
  </si>
  <si>
    <t>Huy</t>
  </si>
  <si>
    <t>Christoph</t>
  </si>
  <si>
    <t>Perimora</t>
  </si>
  <si>
    <t>christoph.huy@campus.tu-berlin.de</t>
  </si>
  <si>
    <t>Selbig</t>
  </si>
  <si>
    <t>Simon</t>
  </si>
  <si>
    <t>simonselbig</t>
  </si>
  <si>
    <t>simon.selbig@gmx.de</t>
  </si>
  <si>
    <t>Haseeb</t>
  </si>
  <si>
    <t>Abdul</t>
  </si>
  <si>
    <t>abdulhaseeb-se</t>
  </si>
  <si>
    <t>abdul.ah.haseeb@fau.de</t>
  </si>
  <si>
    <t>Pohnke</t>
  </si>
  <si>
    <t>Hannes</t>
  </si>
  <si>
    <t>hpfref</t>
  </si>
  <si>
    <t>hannes.j.pohnke@gmail.com</t>
  </si>
  <si>
    <t>Jokiel</t>
  </si>
  <si>
    <t>Rene</t>
  </si>
  <si>
    <t>BelmontR</t>
  </si>
  <si>
    <t>rene.jokiel@fau.de</t>
  </si>
  <si>
    <t>Khabouze</t>
  </si>
  <si>
    <t>Mehdi</t>
  </si>
  <si>
    <t>Mehdi-kbz</t>
  </si>
  <si>
    <t>khabouze@campus.tu-berlin.de</t>
  </si>
  <si>
    <t>Product Owner</t>
  </si>
  <si>
    <t>#</t>
  </si>
  <si>
    <t>Meeting Day</t>
  </si>
  <si>
    <t>Review</t>
  </si>
  <si>
    <t>Planning</t>
  </si>
  <si>
    <t>Software Developer</t>
  </si>
  <si>
    <t>Release Manager</t>
  </si>
  <si>
    <t>Scrum Master</t>
  </si>
  <si>
    <t>Comment</t>
  </si>
  <si>
    <t>Patrick Meusling</t>
  </si>
  <si>
    <t>Hafidz Arifin</t>
  </si>
  <si>
    <t>Everyone else</t>
  </si>
  <si>
    <t>N/A</t>
  </si>
  <si>
    <t>Mehdi Khabouze</t>
  </si>
  <si>
    <t>Rene Jokiel</t>
  </si>
  <si>
    <t>Abdul Haseeb</t>
  </si>
  <si>
    <t>Hannes Pohnke</t>
  </si>
  <si>
    <t>Simon Selbig</t>
  </si>
  <si>
    <t>Mid-term due</t>
  </si>
  <si>
    <t>Demo day!</t>
  </si>
  <si>
    <t>Retrospective</t>
  </si>
  <si>
    <t>Product owners, software developers, and Scurm Master are set and ideally don't change over time; the critical part is the Release Manager role you need to define here</t>
  </si>
  <si>
    <t>Goals</t>
  </si>
  <si>
    <t>Aquire new skills</t>
  </si>
  <si>
    <t>Produce a functioning and valuable product (a 1.0)</t>
  </si>
  <si>
    <t>Meeting norms</t>
  </si>
  <si>
    <t>We respect the opinions of others and we show up on time</t>
  </si>
  <si>
    <t>Summary of Partner Meeting required</t>
  </si>
  <si>
    <t>Working norms</t>
  </si>
  <si>
    <t>Clean, testable code with clear commit messages, code comments</t>
  </si>
  <si>
    <t>We respect other people's work</t>
  </si>
  <si>
    <t>Coordination norms</t>
  </si>
  <si>
    <t xml:space="preserve">Seperate branches for issues, second person review </t>
  </si>
  <si>
    <t>We balance workload among the team</t>
  </si>
  <si>
    <t>Communication norms</t>
  </si>
  <si>
    <t>Daily check the corresponding channels (discord)</t>
  </si>
  <si>
    <t>We communicate constructively, make sure to communicate possible problems (absence, etc.)</t>
  </si>
  <si>
    <t>Consideration norms</t>
  </si>
  <si>
    <t>We discuss issues openly</t>
  </si>
  <si>
    <t>We vote in case we can't reach a consensus</t>
  </si>
  <si>
    <t>Cont. improvement norms</t>
  </si>
  <si>
    <t>We encourage critique and improvement efforts</t>
  </si>
  <si>
    <t>Encourage reaching out for help (use the strength/skills of others)</t>
  </si>
  <si>
    <t>Rewards</t>
  </si>
  <si>
    <t>We treat ourselfes to a sweet of choice for good work</t>
  </si>
  <si>
    <t>Sanctions</t>
  </si>
  <si>
    <t>Push Ups (amount decided on the case)</t>
  </si>
  <si>
    <t>Signatures</t>
  </si>
  <si>
    <t>Luca Böhm</t>
  </si>
  <si>
    <t>Product owner</t>
  </si>
  <si>
    <t>Software developer</t>
  </si>
  <si>
    <t>Christoph Huy</t>
  </si>
  <si>
    <t>Product Vision</t>
  </si>
  <si>
    <t>Project Mission</t>
  </si>
  <si>
    <t>The reason of existence of the envisioned product (beyond this project).</t>
  </si>
  <si>
    <t>The mission of this particular project (in the context of the product vision).</t>
  </si>
  <si>
    <t>Term</t>
  </si>
  <si>
    <t>Definition</t>
  </si>
  <si>
    <t>Sprint #</t>
  </si>
  <si>
    <t>Sprint goal</t>
  </si>
  <si>
    <t>None</t>
  </si>
  <si>
    <t>Optional</t>
  </si>
  <si>
    <t>Write your sprint goal here</t>
  </si>
  <si>
    <t>Story Points Realized</t>
  </si>
  <si>
    <t>PLEASE CREATE THE VELOCITY CHART ON A NEW TAB USING THE DATA FROM THIS TAB</t>
  </si>
  <si>
    <t>Sprint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</si>
  <si>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</si>
  <si>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</si>
  <si>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</si>
  <si>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</si>
  <si>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</si>
  <si>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</si>
  <si>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</si>
  <si>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</si>
  <si>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Sprints</t>
  </si>
  <si>
    <t>Estimated burn-down</t>
  </si>
  <si>
    <t>Real burn-down</t>
  </si>
  <si>
    <t>...</t>
  </si>
  <si>
    <t>Features</t>
  </si>
  <si>
    <t>PLEASE CREATE THE BURNDOWN CHART ON A NEW TAB USING THE DATA FROM THIS TAB</t>
  </si>
  <si>
    <t>Feature Definition of Done</t>
  </si>
  <si>
    <t>Sprint Release Definition of Done</t>
  </si>
  <si>
    <t>Project Release Definition of Done</t>
  </si>
  <si>
    <t>Type</t>
  </si>
  <si>
    <t>Link / reference</t>
  </si>
  <si>
    <t>Project:</t>
  </si>
  <si>
    <t>RTIP - Forecasting and Anomaly Detection</t>
  </si>
  <si>
    <t>System Components</t>
  </si>
  <si>
    <t>First Level Dependencies and Runtimes</t>
  </si>
  <si>
    <t>Tools</t>
  </si>
  <si>
    <t>Version</t>
  </si>
  <si>
    <t>0.1.0 (Sprint02)</t>
  </si>
  <si>
    <t>Date</t>
  </si>
  <si>
    <t>28.10.2025</t>
  </si>
  <si>
    <t>Last updated</t>
  </si>
  <si>
    <t>29.10.2025</t>
  </si>
  <si>
    <t>Name</t>
  </si>
  <si>
    <t>Category</t>
  </si>
  <si>
    <t>Source</t>
  </si>
  <si>
    <t>Description</t>
  </si>
  <si>
    <t>License</t>
  </si>
  <si>
    <t>Vendor</t>
  </si>
  <si>
    <t>Environment</t>
  </si>
  <si>
    <t>Development</t>
  </si>
  <si>
    <t>Forecasting</t>
  </si>
  <si>
    <t>ML Component</t>
  </si>
  <si>
    <t>src/sdk/python/rtdip_sdk/pipelines/forecasting</t>
  </si>
  <si>
    <t>Train / Prediction with Forecasting Models.</t>
  </si>
  <si>
    <t>Python</t>
  </si>
  <si>
    <t>Runtime</t>
  </si>
  <si>
    <t>3.9 &lt; 3.12.11</t>
  </si>
  <si>
    <t>PSF</t>
  </si>
  <si>
    <t>Python Software Foundation</t>
  </si>
  <si>
    <t>Core runtime for all SDK and ML components.</t>
  </si>
  <si>
    <t>git</t>
  </si>
  <si>
    <t>Development / Publish</t>
  </si>
  <si>
    <t>2.43.0</t>
  </si>
  <si>
    <t>Distributed version control system used for source code management and collaborative development.</t>
  </si>
  <si>
    <t>Authors</t>
  </si>
  <si>
    <t>Transformer</t>
  </si>
  <si>
    <t>ML Pre-Processing</t>
  </si>
  <si>
    <t>src/sdk/python/rtdip_sdk/pipelines/transformers/spark/machine_learning</t>
  </si>
  <si>
    <t>Data / Feature pre-processing for ML components.</t>
  </si>
  <si>
    <t>OpenJDK</t>
  </si>
  <si>
    <t>11.0.27</t>
  </si>
  <si>
    <t>GPL v2 + Classpath Exception</t>
  </si>
  <si>
    <t>OpenJDK Community</t>
  </si>
  <si>
    <t>Java Virtual Machine required for Apache Spark and Delta Lake.</t>
  </si>
  <si>
    <t>VS Code</t>
  </si>
  <si>
    <t>1.105.1</t>
  </si>
  <si>
    <t>Integrated development environment used for coding, debugging, documentation editing, and Git integration.</t>
  </si>
  <si>
    <t>Data Manipulator</t>
  </si>
  <si>
    <t>Data Quality</t>
  </si>
  <si>
    <t>src/sdk/python/rtdip_sdk/pipelines/data_quality/data_manipulation</t>
  </si>
  <si>
    <t>Alters data to ensure data quality.</t>
  </si>
  <si>
    <t>Apache Spark (PySpark)</t>
  </si>
  <si>
    <t>3.5.5</t>
  </si>
  <si>
    <t>Apache-2.0</t>
  </si>
  <si>
    <t>Apache Software Foundation</t>
  </si>
  <si>
    <t>Distributed compute engine for ETL, data quality and forecasting pipelines.</t>
  </si>
  <si>
    <t>Conda</t>
  </si>
  <si>
    <t xml:space="preserve">Development / Build </t>
  </si>
  <si>
    <t>25.5.1</t>
  </si>
  <si>
    <t>Environment and package management system ensuring reproducible builds and dependency control.</t>
  </si>
  <si>
    <t>Monitor</t>
  </si>
  <si>
    <t>src/sdk/python/rtdip_sdk/pipelines/data_quality/monitoring</t>
  </si>
  <si>
    <t>Monitors quality of time-series data.</t>
  </si>
  <si>
    <t>Delta Lake (delta-spark)</t>
  </si>
  <si>
    <t>3.0.0</t>
  </si>
  <si>
    <t>Linux Foundation / Databricks Open Source</t>
  </si>
  <si>
    <t>Transactional storage layer enabling ACID and time-travel on Parquet data.</t>
  </si>
  <si>
    <t>Data Extraction</t>
  </si>
  <si>
    <t>src/sdk/python/rtdip_sdk/pipelines/sources</t>
  </si>
  <si>
    <t>Ingest data source.</t>
  </si>
  <si>
    <t>pandas</t>
  </si>
  <si>
    <t>Library</t>
  </si>
  <si>
    <t>2.3.3</t>
  </si>
  <si>
    <t>BSD-3-Clause</t>
  </si>
  <si>
    <t>PyData / NumFOCUS</t>
  </si>
  <si>
    <t>Core data-processing library providing DataFrame operations and ETL utilities.</t>
  </si>
  <si>
    <t>Delta Storage</t>
  </si>
  <si>
    <t>Data Storage</t>
  </si>
  <si>
    <t>external (delta-spark)</t>
  </si>
  <si>
    <t>Provides raw time-series data for ingestion and processing.</t>
  </si>
  <si>
    <t>polars</t>
  </si>
  <si>
    <t>0.20.31</t>
  </si>
  <si>
    <t>MIT</t>
  </si>
  <si>
    <t>Polars Contributors</t>
  </si>
  <si>
    <t>Fast DataFrame engine written in Rust for high-performance data manipulation.</t>
  </si>
  <si>
    <t>pyarrow</t>
  </si>
  <si>
    <t>15.0.2</t>
  </si>
  <si>
    <t>Columnar data access and Parquet I/O layer for Spark and Delta components.</t>
  </si>
  <si>
    <t>scikit-learn</t>
  </si>
  <si>
    <t>1.7.2</t>
  </si>
  <si>
    <t>Scikit-learn Developers / NumFOCUS</t>
  </si>
  <si>
    <t>Machine-learning algorithms and preprocessing utilities for forecasting and modeling.</t>
  </si>
  <si>
    <t>Upcomming</t>
  </si>
  <si>
    <t>statsmodels</t>
  </si>
  <si>
    <t>0.14.5</t>
  </si>
  <si>
    <t>Statsmodels Developers</t>
  </si>
  <si>
    <t>Statistical modeling and time-series forecasting framework (e.g., SARIMA).</t>
  </si>
  <si>
    <t>Anomaly Detection</t>
  </si>
  <si>
    <t>TBA</t>
  </si>
  <si>
    <t>Detects anomalies in time-series predictions.</t>
  </si>
  <si>
    <t>pmdarima</t>
  </si>
  <si>
    <t>2.0.4</t>
  </si>
  <si>
    <t>Alkha Management Group</t>
  </si>
  <si>
    <t>Automated ARIMA model selection and time-series forecasting.</t>
  </si>
  <si>
    <t>delta-spark</t>
  </si>
  <si>
    <t>Linux Foundation / Databricks</t>
  </si>
  <si>
    <t>Delta Lake Python API for ACID table management and versioned data.</t>
  </si>
  <si>
    <t>ML Artifacts</t>
  </si>
  <si>
    <t>databricks-sql-connector</t>
  </si>
  <si>
    <t>3.7.1</t>
  </si>
  <si>
    <t>Databricks Inc.</t>
  </si>
  <si>
    <t>JDBC-style SQL connector for querying Delta and Databricks tables.</t>
  </si>
  <si>
    <t>fastapi</t>
  </si>
  <si>
    <t>0.119.0</t>
  </si>
  <si>
    <t>Sebastián Ramírez</t>
  </si>
  <si>
    <t>High-performance web framework for building REST APIs and model endpoints.</t>
  </si>
  <si>
    <t>uvicorn</t>
  </si>
  <si>
    <t>0.37.0</t>
  </si>
  <si>
    <t>Encode OSS</t>
  </si>
  <si>
    <t>ASGI server providing runtime execution for FastAPI endpoints.</t>
  </si>
  <si>
    <t>azure-core / azure-identity / azure-storage-blob</t>
  </si>
  <si>
    <t>1.35 +</t>
  </si>
  <si>
    <t>Microsoft Azure SDK</t>
  </si>
  <si>
    <t>Core, authentication and blob-storage SDKs for Azure integration.</t>
  </si>
  <si>
    <t>pytest / pytest-cov</t>
  </si>
  <si>
    <t>7.4 / 4.1</t>
  </si>
  <si>
    <t>Pytest Community</t>
  </si>
  <si>
    <t>Unit and integration testing framework with coverage support.</t>
  </si>
  <si>
    <t>black / isort / pylint</t>
  </si>
  <si>
    <t>25.1 / 5.13 / 2.17</t>
  </si>
  <si>
    <t>MIT / BSD-3</t>
  </si>
  <si>
    <t>Python Software Foundation / PyCQA</t>
  </si>
  <si>
    <t>Code formatting and linting for CI quality assurance.</t>
  </si>
  <si>
    <t>mkdocs / mkdocs-material / mkdocstrings</t>
  </si>
  <si>
    <t>1.6 / 9.5 / 0.25</t>
  </si>
  <si>
    <t>MkDocs Community</t>
  </si>
  <si>
    <t>Documentation generation system for SDK and forecasting components.</t>
  </si>
  <si>
    <t>Value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</si>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</sst>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&quot;-&quot;mm&quot;-&quot;dd"/>
  </numFmts>
  <fonts count="20">
    <font>
      <sz val="10.0"/>
      <color rgb="FF000000"/>
      <name val="Arial"/>
    </font>
    <font>
      <b/>
      <name val="Arial"/>
    </font>
    <font>
      <name val="Arial"/>
    </font>
    <font>
      <u/>
      <color rgb="FF0000FF"/>
      <name val="Arial"/>
    </font>
    <font>
      <u/>
      <color rgb="FF1155CC"/>
      <name val="Arial"/>
    </font>
    <font>
      <u/>
      <color rgb="FF56A3F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color rgb="FF181A1B"/>
      <name val="Arial"/>
    </font>
    <font/>
    <font>
      <b/>
    </font>
    <font>
      <color rgb="FFFFFFFF"/>
      <name val="Arial"/>
    </font>
    <font>
      <b/>
      <sz val="11.0"/>
      <color rgb="FF000000"/>
      <name val="&quot;Aptos Narrow&quot;"/>
    </font>
    <font>
      <b/>
      <sz val="11.0"/>
      <color rgb="FF000000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i/>
      <sz val="11.0"/>
      <color rgb="FF000000"/>
      <name val="&quot;Aptos Narrow&quot;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3" fontId="2" numFmtId="0" xfId="0" applyAlignment="1" applyFill="1" applyFont="1">
      <alignment shrinkToFit="0" vertical="bottom" wrapText="1"/>
    </xf>
    <xf borderId="0" fillId="4" fontId="1" numFmtId="0" xfId="0" applyAlignment="1" applyFill="1" applyFont="1">
      <alignment shrinkToFit="0" vertical="bottom" wrapText="1"/>
    </xf>
    <xf borderId="0" fillId="4" fontId="3" numFmtId="0" xfId="0" applyAlignment="1" applyFont="1">
      <alignment readingOrder="0" shrinkToFit="0" vertical="bottom" wrapText="1"/>
    </xf>
    <xf borderId="0" fillId="4" fontId="2" numFmtId="0" xfId="0" applyAlignment="1" applyFont="1">
      <alignment shrinkToFit="0" vertical="bottom" wrapText="1"/>
    </xf>
    <xf borderId="0" fillId="3" fontId="1" numFmtId="0" xfId="0" applyAlignment="1" applyFont="1">
      <alignment shrinkToFit="0" vertical="bottom" wrapText="1"/>
    </xf>
    <xf borderId="0" fillId="3" fontId="2" numFmtId="0" xfId="0" applyAlignment="1" applyFont="1">
      <alignment shrinkToFit="0" vertical="bottom" wrapText="1"/>
    </xf>
    <xf borderId="0" fillId="4" fontId="2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4" fontId="5" numFmtId="0" xfId="0" applyAlignment="1" applyFont="1">
      <alignment shrinkToFit="0" vertical="bottom" wrapText="1"/>
    </xf>
    <xf borderId="0" fillId="3" fontId="6" numFmtId="0" xfId="0" applyAlignment="1" applyFont="1">
      <alignment shrinkToFit="0" vertical="bottom" wrapText="1"/>
    </xf>
    <xf borderId="0" fillId="3" fontId="7" numFmtId="0" xfId="0" applyAlignment="1" applyFont="1">
      <alignment readingOrder="0" shrinkToFit="0" vertical="bottom" wrapText="1"/>
    </xf>
    <xf borderId="0" fillId="4" fontId="8" numFmtId="0" xfId="0" applyAlignment="1" applyFont="1">
      <alignment readingOrder="0" shrinkToFit="0" vertical="bottom" wrapText="1"/>
    </xf>
    <xf borderId="0" fillId="4" fontId="1" numFmtId="0" xfId="0" applyAlignment="1" applyFont="1">
      <alignment shrinkToFit="0" vertical="bottom" wrapText="1"/>
    </xf>
    <xf borderId="0" fillId="4" fontId="9" numFmtId="0" xfId="0" applyAlignment="1" applyFont="1">
      <alignment shrinkToFit="0" vertical="bottom" wrapText="1"/>
    </xf>
    <xf borderId="0" fillId="4" fontId="10" numFmtId="0" xfId="0" applyAlignment="1" applyFont="1">
      <alignment shrinkToFit="0" vertical="bottom" wrapText="1"/>
    </xf>
    <xf borderId="0" fillId="2" fontId="1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0"/>
    </xf>
    <xf borderId="0" fillId="4" fontId="2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0"/>
    </xf>
    <xf borderId="0" fillId="4" fontId="2" numFmtId="0" xfId="0" applyAlignment="1" applyFont="1">
      <alignment shrinkToFit="0" vertical="bottom" wrapText="0"/>
    </xf>
    <xf borderId="0" fillId="0" fontId="11" numFmtId="0" xfId="0" applyAlignment="1" applyFont="1">
      <alignment shrinkToFit="0" wrapText="0"/>
    </xf>
    <xf borderId="0" fillId="0" fontId="11" numFmtId="0" xfId="0" applyAlignment="1" applyFont="1">
      <alignment readingOrder="0" shrinkToFit="0" wrapText="0"/>
    </xf>
    <xf borderId="0" fillId="0" fontId="12" numFmtId="0" xfId="0" applyAlignment="1" applyFont="1">
      <alignment readingOrder="0" shrinkToFit="0" wrapText="0"/>
    </xf>
    <xf borderId="0" fillId="0" fontId="12" numFmtId="0" xfId="0" applyAlignment="1" applyFont="1">
      <alignment shrinkToFit="0" wrapText="0"/>
    </xf>
    <xf borderId="0" fillId="2" fontId="2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2" fontId="2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2" fontId="1" numFmtId="0" xfId="0" applyAlignment="1" applyFont="1">
      <alignment horizontal="center" shrinkToFit="0" vertical="bottom" wrapText="0"/>
    </xf>
    <xf borderId="0" fillId="3" fontId="2" numFmtId="0" xfId="0" applyAlignment="1" applyFont="1">
      <alignment horizontal="center" shrinkToFit="0" vertical="bottom" wrapText="0"/>
    </xf>
    <xf borderId="0" fillId="3" fontId="2" numFmtId="164" xfId="0" applyAlignment="1" applyFont="1" applyNumberFormat="1">
      <alignment horizontal="right" shrinkToFit="0" vertical="bottom" wrapText="0"/>
    </xf>
    <xf borderId="0" fillId="3" fontId="2" numFmtId="165" xfId="0" applyAlignment="1" applyFont="1" applyNumberFormat="1">
      <alignment shrinkToFit="0" vertical="bottom" wrapText="1"/>
    </xf>
    <xf borderId="0" fillId="4" fontId="2" numFmtId="0" xfId="0" applyAlignment="1" applyFont="1">
      <alignment horizontal="center" shrinkToFit="0" vertical="bottom" wrapText="0"/>
    </xf>
    <xf borderId="0" fillId="4" fontId="2" numFmtId="164" xfId="0" applyAlignment="1" applyFont="1" applyNumberFormat="1">
      <alignment horizontal="right" shrinkToFit="0" vertical="bottom" wrapText="0"/>
    </xf>
    <xf borderId="0" fillId="4" fontId="2" numFmtId="165" xfId="0" applyAlignment="1" applyFont="1" applyNumberFormat="1">
      <alignment shrinkToFit="0" vertical="bottom" wrapText="1"/>
    </xf>
    <xf borderId="0" fillId="3" fontId="1" numFmtId="0" xfId="0" applyAlignment="1" applyFont="1">
      <alignment shrinkToFit="0" vertical="bottom" wrapText="1"/>
    </xf>
    <xf borderId="0" fillId="3" fontId="2" numFmtId="0" xfId="0" applyAlignment="1" applyFont="1">
      <alignment shrinkToFit="0" vertical="bottom" wrapText="1"/>
    </xf>
    <xf borderId="0" fillId="4" fontId="2" numFmtId="0" xfId="0" applyAlignment="1" applyFont="1">
      <alignment shrinkToFit="0" vertical="bottom" wrapText="1"/>
    </xf>
    <xf borderId="0" fillId="3" fontId="2" numFmtId="0" xfId="0" applyAlignment="1" applyFont="1">
      <alignment shrinkToFit="0" vertical="bottom" wrapText="1"/>
    </xf>
    <xf borderId="0" fillId="3" fontId="2" numFmtId="0" xfId="0" applyAlignment="1" applyFont="1">
      <alignment readingOrder="0" shrinkToFit="0" vertical="bottom" wrapText="1"/>
    </xf>
    <xf borderId="0" fillId="3" fontId="1" numFmtId="0" xfId="0" applyAlignment="1" applyFont="1">
      <alignment shrinkToFit="0" vertical="bottom" wrapText="1"/>
    </xf>
    <xf borderId="0" fillId="4" fontId="2" numFmtId="0" xfId="0" applyAlignment="1" applyFont="1">
      <alignment readingOrder="0" shrinkToFit="0" vertical="bottom" wrapText="1"/>
    </xf>
    <xf borderId="0" fillId="2" fontId="12" numFmtId="0" xfId="0" applyAlignment="1" applyFont="1">
      <alignment readingOrder="0" shrinkToFit="0" wrapText="1"/>
    </xf>
    <xf borderId="0" fillId="3" fontId="11" numFmtId="0" xfId="0" applyAlignment="1" applyFont="1">
      <alignment shrinkToFit="0" wrapText="1"/>
    </xf>
    <xf borderId="0" fillId="3" fontId="11" numFmtId="0" xfId="0" applyAlignment="1" applyFont="1">
      <alignment readingOrder="0" shrinkToFit="0" wrapText="1"/>
    </xf>
    <xf borderId="0" fillId="4" fontId="2" numFmtId="0" xfId="0" applyAlignment="1" applyFont="1">
      <alignment readingOrder="0" shrinkToFit="0" vertical="top" wrapText="1"/>
    </xf>
    <xf borderId="0" fillId="0" fontId="12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0" fontId="12" numFmtId="0" xfId="0" applyAlignment="1" applyFont="1">
      <alignment horizontal="left" readingOrder="0" shrinkToFit="0" wrapText="1"/>
    </xf>
    <xf borderId="0" fillId="0" fontId="12" numFmtId="0" xfId="0" applyAlignment="1" applyFont="1">
      <alignment readingOrder="0" shrinkToFit="0" wrapText="1"/>
    </xf>
    <xf borderId="0" fillId="0" fontId="11" numFmtId="0" xfId="0" applyAlignment="1" applyFont="1">
      <alignment horizontal="left" readingOrder="0" shrinkToFit="0" wrapText="1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horizontal="left" shrinkToFit="0" wrapText="1"/>
    </xf>
    <xf borderId="0" fillId="5" fontId="12" numFmtId="0" xfId="0" applyAlignment="1" applyFill="1" applyFont="1">
      <alignment readingOrder="0" shrinkToFit="0" wrapText="1"/>
    </xf>
    <xf borderId="0" fillId="2" fontId="1" numFmtId="0" xfId="0" applyAlignment="1" applyFont="1">
      <alignment horizontal="left" shrinkToFit="0" vertical="bottom" wrapText="1"/>
    </xf>
    <xf borderId="0" fillId="2" fontId="1" numFmtId="0" xfId="0" applyAlignment="1" applyFont="1">
      <alignment shrinkToFit="0" vertical="bottom" wrapText="0"/>
    </xf>
    <xf borderId="0" fillId="2" fontId="1" numFmtId="0" xfId="0" applyAlignment="1" applyFont="1">
      <alignment shrinkToFit="0" vertical="bottom" wrapText="0"/>
    </xf>
    <xf borderId="0" fillId="2" fontId="1" numFmtId="0" xfId="0" applyAlignment="1" applyFont="1">
      <alignment horizontal="center" readingOrder="0" shrinkToFit="0" vertical="bottom" wrapText="1"/>
    </xf>
    <xf borderId="0" fillId="3" fontId="2" numFmtId="0" xfId="0" applyAlignment="1" applyFont="1">
      <alignment horizontal="left" shrinkToFit="0" vertical="bottom" wrapText="1"/>
    </xf>
    <xf borderId="0" fillId="3" fontId="2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1"/>
    </xf>
    <xf borderId="0" fillId="6" fontId="1" numFmtId="0" xfId="0" applyAlignment="1" applyFill="1" applyFont="1">
      <alignment horizontal="left" shrinkToFit="0" vertical="bottom" wrapText="0"/>
    </xf>
    <xf borderId="0" fillId="6" fontId="2" numFmtId="0" xfId="0" applyAlignment="1" applyFont="1">
      <alignment shrinkToFit="0" vertical="bottom" wrapText="0"/>
    </xf>
    <xf borderId="0" fillId="6" fontId="2" numFmtId="0" xfId="0" applyAlignment="1" applyFont="1">
      <alignment shrinkToFit="0" vertical="bottom" wrapText="1"/>
    </xf>
    <xf borderId="0" fillId="4" fontId="1" numFmtId="0" xfId="0" applyAlignment="1" applyFont="1">
      <alignment shrinkToFit="0" vertical="bottom" wrapText="0"/>
    </xf>
    <xf borderId="0" fillId="0" fontId="11" numFmtId="0" xfId="0" applyAlignment="1" applyFont="1">
      <alignment shrinkToFit="0" wrapText="0"/>
    </xf>
    <xf borderId="0" fillId="4" fontId="2" numFmtId="0" xfId="0" applyAlignment="1" applyFont="1">
      <alignment shrinkToFit="0" vertical="bottom" wrapText="1"/>
    </xf>
    <xf borderId="0" fillId="4" fontId="2" numFmtId="0" xfId="0" applyAlignment="1" applyFont="1">
      <alignment horizontal="right" shrinkToFit="0" vertical="bottom" wrapText="0"/>
    </xf>
    <xf borderId="0" fillId="7" fontId="1" numFmtId="0" xfId="0" applyAlignment="1" applyFill="1" applyFont="1">
      <alignment horizontal="left" shrinkToFit="0" vertical="bottom" wrapText="0"/>
    </xf>
    <xf borderId="0" fillId="7" fontId="1" numFmtId="0" xfId="0" applyAlignment="1" applyFont="1">
      <alignment shrinkToFit="0" vertical="bottom" wrapText="0"/>
    </xf>
    <xf borderId="0" fillId="7" fontId="2" numFmtId="0" xfId="0" applyAlignment="1" applyFont="1">
      <alignment shrinkToFit="0" vertical="bottom" wrapText="1"/>
    </xf>
    <xf borderId="0" fillId="3" fontId="13" numFmtId="0" xfId="0" applyAlignment="1" applyFont="1">
      <alignment horizontal="center" shrinkToFit="0" vertical="bottom" wrapText="0"/>
    </xf>
    <xf borderId="0" fillId="4" fontId="2" numFmtId="0" xfId="0" applyAlignment="1" applyFont="1">
      <alignment horizontal="left" shrinkToFit="0" vertical="bottom" wrapText="1"/>
    </xf>
    <xf borderId="0" fillId="3" fontId="2" numFmtId="0" xfId="0" applyAlignment="1" applyFont="1">
      <alignment horizontal="right" shrinkToFit="0" vertical="bottom" wrapText="0"/>
    </xf>
    <xf borderId="0" fillId="3" fontId="2" numFmtId="0" xfId="0" applyAlignment="1" applyFont="1">
      <alignment horizontal="left" readingOrder="0" shrinkToFit="0" vertical="bottom" wrapText="1"/>
    </xf>
    <xf borderId="0" fillId="3" fontId="2" numFmtId="0" xfId="0" applyAlignment="1" applyFont="1">
      <alignment shrinkToFit="0" vertical="bottom" wrapText="0"/>
    </xf>
    <xf borderId="0" fillId="8" fontId="1" numFmtId="0" xfId="0" applyAlignment="1" applyFill="1" applyFont="1">
      <alignment horizontal="left" shrinkToFit="0" vertical="bottom" wrapText="0"/>
    </xf>
    <xf borderId="0" fillId="8" fontId="1" numFmtId="0" xfId="0" applyAlignment="1" applyFont="1">
      <alignment shrinkToFit="0" vertical="bottom" wrapText="0"/>
    </xf>
    <xf borderId="0" fillId="8" fontId="2" numFmtId="0" xfId="0" applyAlignment="1" applyFont="1">
      <alignment shrinkToFit="0" vertical="bottom" wrapText="1"/>
    </xf>
    <xf borderId="0" fillId="3" fontId="1" numFmtId="0" xfId="0" applyAlignment="1" applyFont="1">
      <alignment horizontal="left" shrinkToFit="0" vertical="bottom" wrapText="0"/>
    </xf>
    <xf borderId="0" fillId="3" fontId="1" numFmtId="0" xfId="0" applyAlignment="1" applyFont="1">
      <alignment shrinkToFit="0" vertical="bottom" wrapText="0"/>
    </xf>
    <xf borderId="0" fillId="4" fontId="2" numFmtId="0" xfId="0" applyAlignment="1" applyFont="1">
      <alignment shrinkToFit="0" vertical="bottom" wrapText="0"/>
    </xf>
    <xf borderId="0" fillId="3" fontId="2" numFmtId="0" xfId="0" applyAlignment="1" applyFont="1">
      <alignment horizontal="right" shrinkToFit="0" vertical="bottom" wrapText="0"/>
    </xf>
    <xf borderId="0" fillId="3" fontId="2" numFmtId="0" xfId="0" applyAlignment="1" applyFont="1">
      <alignment horizontal="left" shrinkToFit="0" vertical="bottom" wrapText="1"/>
    </xf>
    <xf borderId="0" fillId="5" fontId="12" numFmtId="0" xfId="0" applyAlignment="1" applyFont="1">
      <alignment readingOrder="0" shrinkToFit="0" wrapText="0"/>
    </xf>
    <xf borderId="0" fillId="2" fontId="1" numFmtId="0" xfId="0" applyAlignment="1" applyFont="1">
      <alignment shrinkToFit="0" vertical="bottom" wrapText="1"/>
    </xf>
    <xf borderId="0" fillId="7" fontId="1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1"/>
    </xf>
    <xf borderId="0" fillId="2" fontId="1" numFmtId="0" xfId="0" applyAlignment="1" applyFont="1">
      <alignment shrinkToFit="0" vertical="bottom" wrapText="1"/>
    </xf>
    <xf borderId="0" fillId="2" fontId="1" numFmtId="0" xfId="0" applyAlignment="1" applyFont="1">
      <alignment readingOrder="0" shrinkToFit="0" vertical="bottom" wrapText="0"/>
    </xf>
    <xf borderId="1" fillId="0" fontId="14" numFmtId="0" xfId="0" applyAlignment="1" applyBorder="1" applyFont="1">
      <alignment readingOrder="0" shrinkToFit="0" vertical="bottom" wrapText="0"/>
    </xf>
    <xf borderId="1" fillId="0" fontId="15" numFmtId="0" xfId="0" applyAlignment="1" applyBorder="1" applyFon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shrinkToFit="0" vertical="bottom" wrapText="0"/>
    </xf>
    <xf borderId="1" fillId="0" fontId="16" numFmtId="0" xfId="0" applyAlignment="1" applyBorder="1" applyFon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horizontal="right" shrinkToFit="0" vertical="bottom" wrapText="0"/>
    </xf>
    <xf borderId="1" fillId="0" fontId="17" numFmtId="0" xfId="0" applyAlignment="1" applyBorder="1" applyFont="1">
      <alignment horizontal="right" readingOrder="0" shrinkToFit="0" vertical="bottom" wrapText="0"/>
    </xf>
    <xf borderId="1" fillId="0" fontId="14" numFmtId="0" xfId="0" applyAlignment="1" applyBorder="1" applyFont="1">
      <alignment horizontal="center" readingOrder="0" shrinkToFit="0" wrapText="1"/>
    </xf>
    <xf borderId="0" fillId="0" fontId="14" numFmtId="0" xfId="0" applyAlignment="1" applyFont="1">
      <alignment horizontal="center" readingOrder="0" shrinkToFit="0" wrapText="1"/>
    </xf>
    <xf borderId="1" fillId="0" fontId="16" numFmtId="0" xfId="0" applyAlignment="1" applyBorder="1" applyFont="1">
      <alignment readingOrder="0" shrinkToFit="0" vertical="bottom" wrapText="0"/>
    </xf>
    <xf borderId="1" fillId="0" fontId="14" numFmtId="0" xfId="0" applyAlignment="1" applyBorder="1" applyFont="1">
      <alignment readingOrder="0" shrinkToFit="0" wrapText="1"/>
    </xf>
    <xf borderId="1" fillId="0" fontId="16" numFmtId="0" xfId="0" applyAlignment="1" applyBorder="1" applyFont="1">
      <alignment readingOrder="0" shrinkToFit="0" wrapText="1"/>
    </xf>
    <xf borderId="1" fillId="0" fontId="17" numFmtId="0" xfId="0" applyAlignment="1" applyBorder="1" applyFont="1">
      <alignment readingOrder="0" shrinkToFit="0" wrapText="1"/>
    </xf>
    <xf borderId="0" fillId="0" fontId="16" numFmtId="0" xfId="0" applyAlignment="1" applyFont="1">
      <alignment readingOrder="0" shrinkToFit="0" wrapText="1"/>
    </xf>
    <xf borderId="1" fillId="0" fontId="15" numFmtId="0" xfId="0" applyAlignment="1" applyBorder="1" applyFont="1">
      <alignment readingOrder="0" shrinkToFit="0" vertical="bottom" wrapText="0"/>
    </xf>
    <xf borderId="1" fillId="0" fontId="17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readingOrder="0" shrinkToFit="0" wrapText="1"/>
    </xf>
    <xf borderId="1" fillId="0" fontId="11" numFmtId="0" xfId="0" applyAlignment="1" applyBorder="1" applyFont="1">
      <alignment readingOrder="0" shrinkToFit="0" wrapText="1"/>
    </xf>
    <xf borderId="0" fillId="0" fontId="17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center" readingOrder="0" shrinkToFit="0" wrapText="1"/>
    </xf>
    <xf borderId="2" fillId="0" fontId="16" numFmtId="0" xfId="0" applyAlignment="1" applyBorder="1" applyFont="1">
      <alignment shrinkToFit="0" vertical="bottom" wrapText="0"/>
    </xf>
    <xf borderId="3" fillId="0" fontId="18" numFmtId="0" xfId="0" applyAlignment="1" applyBorder="1" applyFont="1">
      <alignment readingOrder="0" shrinkToFit="0" vertical="bottom" wrapText="0"/>
    </xf>
    <xf borderId="4" fillId="0" fontId="16" numFmtId="0" xfId="0" applyAlignment="1" applyBorder="1" applyFont="1">
      <alignment shrinkToFit="0" vertical="bottom" wrapText="0"/>
    </xf>
    <xf borderId="0" fillId="0" fontId="16" numFmtId="0" xfId="0" applyAlignment="1" applyFont="1">
      <alignment readingOrder="0" shrinkToFit="0" vertical="bottom" wrapText="0"/>
    </xf>
    <xf borderId="5" fillId="0" fontId="14" numFmtId="0" xfId="0" applyAlignment="1" applyBorder="1" applyFont="1">
      <alignment readingOrder="0" shrinkToFit="0" vertical="bottom" wrapText="0"/>
    </xf>
    <xf borderId="6" fillId="0" fontId="16" numFmtId="0" xfId="0" applyAlignment="1" applyBorder="1" applyFont="1">
      <alignment readingOrder="0" shrinkToFit="0" vertical="bottom" wrapText="0"/>
    </xf>
    <xf borderId="7" fillId="0" fontId="16" numFmtId="0" xfId="0" applyAlignment="1" applyBorder="1" applyFont="1">
      <alignment shrinkToFit="0" vertical="bottom" wrapText="0"/>
    </xf>
    <xf borderId="1" fillId="0" fontId="16" numFmtId="0" xfId="0" applyAlignment="1" applyBorder="1" applyFont="1">
      <alignment shrinkToFit="0" vertical="bottom" wrapText="0"/>
    </xf>
    <xf borderId="0" fillId="2" fontId="1" numFmtId="0" xfId="0" applyAlignment="1" applyFont="1">
      <alignment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4" xfId="0" applyAlignment="1" applyFont="1" applyNumberFormat="1">
      <alignment shrinkToFit="0" vertical="center" wrapText="1"/>
    </xf>
    <xf borderId="0" fillId="2" fontId="2" numFmtId="4" xfId="0" applyAlignment="1" applyFont="1" applyNumberForma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2" fontId="12" numFmtId="0" xfId="0" applyAlignment="1" applyFont="1">
      <alignment shrinkToFit="0" vertical="center" wrapText="1"/>
    </xf>
    <xf borderId="0" fillId="3" fontId="1" numFmtId="0" xfId="0" applyAlignment="1" applyFont="1">
      <alignment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3" fontId="2" numFmtId="4" xfId="0" applyAlignment="1" applyFont="1" applyNumberFormat="1">
      <alignment shrinkToFit="0" vertical="center" wrapText="1"/>
    </xf>
    <xf borderId="0" fillId="8" fontId="19" numFmtId="4" xfId="0" applyAlignment="1" applyFont="1" applyNumberFormat="1">
      <alignment horizontal="center" shrinkToFit="0" vertical="center" wrapText="1"/>
    </xf>
    <xf borderId="0" fillId="8" fontId="19" numFmtId="0" xfId="0" applyAlignment="1" applyFont="1">
      <alignment horizontal="center" shrinkToFit="0" vertical="center" wrapText="1"/>
    </xf>
    <xf borderId="0" fillId="3" fontId="11" numFmtId="0" xfId="0" applyAlignment="1" applyFont="1">
      <alignment shrinkToFit="0" vertical="center" wrapText="1"/>
    </xf>
    <xf borderId="0" fillId="4" fontId="1" numFmtId="0" xfId="0" applyAlignment="1" applyFont="1">
      <alignment shrinkToFit="0" vertical="center" wrapText="1"/>
    </xf>
    <xf borderId="0" fillId="4" fontId="2" numFmtId="4" xfId="0" applyAlignment="1" applyFont="1" applyNumberFormat="1">
      <alignment shrinkToFit="0" vertical="center" wrapText="1"/>
    </xf>
    <xf borderId="0" fillId="4" fontId="11" numFmtId="0" xfId="0" applyAlignment="1" applyFont="1">
      <alignment shrinkToFit="0" vertical="center" wrapText="1"/>
    </xf>
    <xf borderId="0" fillId="5" fontId="2" numFmtId="0" xfId="0" applyAlignment="1" applyFont="1">
      <alignment horizontal="center" shrinkToFit="0" vertical="center" wrapText="1"/>
    </xf>
    <xf borderId="0" fillId="4" fontId="2" numFmtId="0" xfId="0" applyAlignment="1" applyFont="1">
      <alignment shrinkToFit="0" vertical="center" wrapText="1"/>
    </xf>
    <xf borderId="0" fillId="3" fontId="2" numFmtId="0" xfId="0" applyAlignment="1" applyFont="1">
      <alignment shrinkToFit="0" vertical="center" wrapText="1"/>
    </xf>
    <xf borderId="0" fillId="7" fontId="2" numFmtId="0" xfId="0" applyAlignment="1" applyFont="1">
      <alignment horizontal="center" shrinkToFit="0" vertical="center" wrapText="1"/>
    </xf>
    <xf borderId="0" fillId="7" fontId="2" numFmtId="0" xfId="0" applyAlignment="1" applyFont="1">
      <alignment readingOrder="0" shrinkToFit="0" vertical="center" wrapText="1"/>
    </xf>
    <xf borderId="0" fillId="3" fontId="12" numFmtId="0" xfId="0" applyAlignment="1" applyFont="1">
      <alignment shrinkToFit="0" wrapText="0"/>
    </xf>
    <xf borderId="0" fillId="3" fontId="12" numFmtId="0" xfId="0" applyAlignment="1" applyFont="1">
      <alignment shrinkToFit="0" wrapText="0"/>
    </xf>
    <xf borderId="0" fillId="4" fontId="11" numFmtId="0" xfId="0" applyAlignment="1" applyFont="1">
      <alignment shrinkToFit="0" wrapText="0"/>
    </xf>
    <xf borderId="0" fillId="3" fontId="11" numFmtId="0" xfId="0" applyAlignment="1" applyFont="1">
      <alignment shrinkToFit="0" wrapText="0"/>
    </xf>
    <xf borderId="0" fillId="3" fontId="11" numFmtId="0" xfId="0" applyAlignment="1" applyFont="1">
      <alignment shrinkToFit="0" wrapText="0"/>
    </xf>
    <xf borderId="0" fillId="4" fontId="11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2"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20" displayName="Table_1" name="Table_1" id="1">
  <tableColumns count="2">
    <tableColumn name="Project Name" id="1"/>
    <tableColumn name="RTDIP Timeseries Forecasting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2" name="Table_2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H21" displayName="Table_3" name="Table_3" id="3">
  <tableColumns count="8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Scrum Master" id="7"/>
    <tableColumn name="Comment" id="8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ref="A1:B30" displayName="Table_4" name="Table_4" id="4">
  <tableColumns count="2">
    <tableColumn name="Goals" id="1"/>
    <tableColumn name="Aquire new skills" id="2"/>
  </tableColumns>
  <tableStyleInfo name="Team Contract-style" showColumnStripes="0" showFirstColumn="1" showLastColumn="1" showRowStripes="1"/>
</table>
</file>

<file path=xl/tables/table5.xml><?xml version="1.0" encoding="utf-8"?>
<table xmlns="http://schemas.openxmlformats.org/spreadsheetml/2006/main" ref="A1:B20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ref="A1:B20" displayName="Table_7" name="Table_7" id="7">
  <tableColumns count="2">
    <tableColumn name="Sprint #" id="1"/>
    <tableColumn name="Story Points Realized" id="2"/>
  </tableColumns>
  <tableStyleInfo name="Velocity Tracking-style" showColumnStripes="0" showFirstColumn="1" showLastColumn="1" showRowStripes="1"/>
</table>
</file>

<file path=xl/tables/table8.xml><?xml version="1.0" encoding="utf-8"?>
<table xmlns="http://schemas.openxmlformats.org/spreadsheetml/2006/main" ref="A1:G34" displayName="Table_8" name="Table_8" id="8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9.xml><?xml version="1.0" encoding="utf-8"?>
<table xmlns="http://schemas.openxmlformats.org/spreadsheetml/2006/main" ref="A1:G34" displayName="Table_9" name="Table_9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D20" displayName="Table_10" name="Table_10" id="10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1.xml><?xml version="1.0" encoding="utf-8"?>
<table xmlns="http://schemas.openxmlformats.org/spreadsheetml/2006/main" ref="A1:B20" displayName="Table_11" name="Table_11" id="11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2.xml><?xml version="1.0" encoding="utf-8"?>
<table xmlns="http://schemas.openxmlformats.org/spreadsheetml/2006/main" headerRowCount="0" ref="A1:U26" displayName="Table_12" name="Table_12" id="12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Bill of Materia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u.zoom-x.de/j/65502405196?pwd=8H73lyixQfqKrnO8Eb47kawnuKCnGp.1" TargetMode="External"/><Relationship Id="rId2" Type="http://schemas.openxmlformats.org/officeDocument/2006/relationships/hyperlink" Target="https://github.com/amosproj/amos2025ws03-rtdip-timeseries-forecasting" TargetMode="External"/><Relationship Id="rId3" Type="http://schemas.openxmlformats.org/officeDocument/2006/relationships/hyperlink" Target="https://github.com/orgs/amosproj/projects/91/views/1" TargetMode="External"/><Relationship Id="rId4" Type="http://schemas.openxmlformats.org/officeDocument/2006/relationships/hyperlink" Target="https://github.com/orgs/amosproj/projects/96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s://www.shirtinator.de/s/QWcDXTKGS72ISnrRNZq1hg" TargetMode="External"/><Relationship Id="rId6" Type="http://schemas.openxmlformats.org/officeDocument/2006/relationships/hyperlink" Target="https://www.shirtinator.de/s/0yx3duRjSzW-5hP32KmZ1w" TargetMode="External"/><Relationship Id="rId7" Type="http://schemas.openxmlformats.org/officeDocument/2006/relationships/hyperlink" Target="https://discord.gg/KJXGmjcs" TargetMode="External"/><Relationship Id="rId8" Type="http://schemas.openxmlformats.org/officeDocument/2006/relationships/hyperlink" Target="https://happy-amos.appspot.com/Course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2" t="s">
        <v>1</v>
      </c>
    </row>
    <row r="2">
      <c r="A2" s="3"/>
      <c r="B2" s="3"/>
    </row>
    <row r="3">
      <c r="A3" s="4" t="s">
        <v>2</v>
      </c>
      <c r="B3" s="5" t="s">
        <v>3</v>
      </c>
    </row>
    <row r="4">
      <c r="A4" s="3"/>
      <c r="B4" s="3"/>
    </row>
    <row r="5">
      <c r="A5" s="4" t="s">
        <v>4</v>
      </c>
      <c r="B5" s="6"/>
    </row>
    <row r="6">
      <c r="A6" s="7" t="s">
        <v>5</v>
      </c>
      <c r="B6" s="8"/>
    </row>
    <row r="7">
      <c r="A7" s="9"/>
      <c r="B7" s="9"/>
    </row>
    <row r="8">
      <c r="A8" s="7" t="s">
        <v>6</v>
      </c>
      <c r="B8" s="10" t="s">
        <v>7</v>
      </c>
    </row>
    <row r="9">
      <c r="A9" s="4" t="s">
        <v>8</v>
      </c>
      <c r="B9" s="11" t="s">
        <v>9</v>
      </c>
    </row>
    <row r="10">
      <c r="A10" s="7" t="s">
        <v>10</v>
      </c>
      <c r="B10" s="12" t="s">
        <v>11</v>
      </c>
    </row>
    <row r="11">
      <c r="A11" s="9"/>
      <c r="B11" s="9"/>
    </row>
    <row r="12">
      <c r="A12" s="7" t="s">
        <v>12</v>
      </c>
      <c r="B12" s="13" t="s">
        <v>13</v>
      </c>
    </row>
    <row r="13">
      <c r="A13" s="4" t="s">
        <v>14</v>
      </c>
      <c r="B13" s="14" t="s">
        <v>15</v>
      </c>
    </row>
    <row r="14">
      <c r="A14" s="3"/>
      <c r="B14" s="3"/>
    </row>
    <row r="15">
      <c r="A15" s="15" t="s">
        <v>16</v>
      </c>
      <c r="B15" s="16" t="s">
        <v>17</v>
      </c>
    </row>
    <row r="16">
      <c r="A16" s="3"/>
      <c r="B16" s="3"/>
    </row>
    <row r="17">
      <c r="A17" s="4" t="s">
        <v>18</v>
      </c>
      <c r="B17" s="6" t="s">
        <v>19</v>
      </c>
    </row>
    <row r="18">
      <c r="A18" s="3"/>
      <c r="B18" s="3"/>
    </row>
    <row r="19">
      <c r="A19" s="17" t="s">
        <v>20</v>
      </c>
      <c r="B19" s="16" t="s">
        <v>21</v>
      </c>
    </row>
    <row r="20">
      <c r="A20" s="3"/>
      <c r="B20" s="3"/>
    </row>
  </sheetData>
  <hyperlinks>
    <hyperlink r:id="rId1" ref="B3"/>
    <hyperlink r:id="rId2" ref="B8"/>
    <hyperlink r:id="rId3" ref="B9"/>
    <hyperlink r:id="rId4" ref="B10"/>
    <hyperlink r:id="rId5" ref="B12"/>
    <hyperlink r:id="rId6" ref="B13"/>
    <hyperlink r:id="rId7" ref="B15"/>
    <hyperlink r:id="rId8" ref="B1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" width="31.38"/>
  </cols>
  <sheetData>
    <row r="1">
      <c r="A1" s="18" t="s">
        <v>22</v>
      </c>
      <c r="B1" s="18" t="s">
        <v>23</v>
      </c>
      <c r="C1" s="18" t="s">
        <v>24</v>
      </c>
      <c r="D1" s="18" t="s">
        <v>25</v>
      </c>
    </row>
    <row r="2">
      <c r="A2" s="19" t="s">
        <v>26</v>
      </c>
      <c r="B2" s="19" t="s">
        <v>27</v>
      </c>
      <c r="C2" s="19" t="s">
        <v>28</v>
      </c>
      <c r="D2" s="19" t="s">
        <v>29</v>
      </c>
    </row>
    <row r="3">
      <c r="A3" s="20" t="s">
        <v>30</v>
      </c>
      <c r="B3" s="20" t="s">
        <v>31</v>
      </c>
      <c r="C3" s="20" t="s">
        <v>32</v>
      </c>
      <c r="D3" s="20" t="s">
        <v>33</v>
      </c>
    </row>
    <row r="4">
      <c r="A4" s="21" t="s">
        <v>34</v>
      </c>
      <c r="B4" s="21" t="s">
        <v>35</v>
      </c>
      <c r="C4" s="21" t="s">
        <v>36</v>
      </c>
      <c r="D4" s="21" t="s">
        <v>37</v>
      </c>
    </row>
    <row r="5">
      <c r="A5" s="22" t="s">
        <v>38</v>
      </c>
      <c r="B5" s="22" t="s">
        <v>39</v>
      </c>
      <c r="C5" s="22" t="s">
        <v>40</v>
      </c>
      <c r="D5" s="22" t="s">
        <v>41</v>
      </c>
    </row>
    <row r="6">
      <c r="A6" s="21" t="s">
        <v>42</v>
      </c>
      <c r="B6" s="19" t="s">
        <v>43</v>
      </c>
      <c r="C6" s="21" t="s">
        <v>44</v>
      </c>
      <c r="D6" s="21" t="s">
        <v>45</v>
      </c>
    </row>
    <row r="7">
      <c r="A7" s="22" t="s">
        <v>46</v>
      </c>
      <c r="B7" s="20" t="s">
        <v>47</v>
      </c>
      <c r="C7" s="22" t="s">
        <v>48</v>
      </c>
      <c r="D7" s="22" t="s">
        <v>49</v>
      </c>
    </row>
    <row r="8">
      <c r="A8" s="21" t="s">
        <v>50</v>
      </c>
      <c r="B8" s="19" t="s">
        <v>51</v>
      </c>
      <c r="C8" s="21" t="s">
        <v>52</v>
      </c>
      <c r="D8" s="21" t="s">
        <v>53</v>
      </c>
    </row>
    <row r="9">
      <c r="A9" s="22" t="s">
        <v>54</v>
      </c>
      <c r="B9" s="20" t="s">
        <v>55</v>
      </c>
      <c r="C9" s="22" t="s">
        <v>56</v>
      </c>
      <c r="D9" s="22" t="s">
        <v>57</v>
      </c>
    </row>
    <row r="10">
      <c r="A10" s="21" t="s">
        <v>58</v>
      </c>
      <c r="B10" s="19" t="s">
        <v>59</v>
      </c>
      <c r="C10" s="21" t="s">
        <v>60</v>
      </c>
      <c r="D10" s="21" t="s">
        <v>61</v>
      </c>
    </row>
    <row r="11">
      <c r="A11" s="23"/>
      <c r="B11" s="24"/>
      <c r="C11" s="23"/>
      <c r="D11" s="23"/>
    </row>
    <row r="12">
      <c r="A12" s="23"/>
      <c r="B12" s="23"/>
      <c r="C12" s="23"/>
      <c r="D12" s="23"/>
    </row>
    <row r="13">
      <c r="A13" s="25"/>
      <c r="B13" s="26"/>
      <c r="C13" s="26"/>
      <c r="D13" s="26"/>
    </row>
    <row r="14">
      <c r="A14" s="23"/>
      <c r="B14" s="24"/>
      <c r="C14" s="23"/>
      <c r="D14" s="23"/>
    </row>
    <row r="15">
      <c r="A15" s="23"/>
      <c r="B15" s="24"/>
      <c r="C15" s="23"/>
      <c r="D15" s="23"/>
    </row>
    <row r="16">
      <c r="A16" s="23"/>
      <c r="B16" s="23"/>
      <c r="C16" s="23"/>
      <c r="D16" s="23"/>
    </row>
    <row r="17">
      <c r="A17" s="23"/>
      <c r="B17" s="23"/>
      <c r="C17" s="23"/>
      <c r="D17" s="23"/>
    </row>
    <row r="18">
      <c r="A18" s="23"/>
      <c r="B18" s="23"/>
      <c r="C18" s="23"/>
      <c r="D18" s="23"/>
    </row>
    <row r="19">
      <c r="A19" s="23"/>
      <c r="B19" s="23"/>
      <c r="C19" s="23"/>
      <c r="D19" s="23"/>
    </row>
    <row r="20">
      <c r="A20" s="23"/>
      <c r="B20" s="23"/>
      <c r="C20" s="23"/>
      <c r="D20" s="2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2.63"/>
    <col customWidth="1" min="3" max="7" width="18.88"/>
    <col customWidth="1" min="8" max="8" width="50.13"/>
  </cols>
  <sheetData>
    <row r="1">
      <c r="A1" s="27"/>
      <c r="B1" s="27"/>
      <c r="C1" s="28" t="s">
        <v>62</v>
      </c>
      <c r="E1" s="27"/>
      <c r="F1" s="29"/>
      <c r="G1" s="29"/>
      <c r="H1" s="27"/>
    </row>
    <row r="2">
      <c r="A2" s="30" t="s">
        <v>63</v>
      </c>
      <c r="B2" s="30" t="s">
        <v>64</v>
      </c>
      <c r="C2" s="30" t="s">
        <v>65</v>
      </c>
      <c r="D2" s="30" t="s">
        <v>66</v>
      </c>
      <c r="E2" s="30" t="s">
        <v>67</v>
      </c>
      <c r="F2" s="31" t="s">
        <v>68</v>
      </c>
      <c r="G2" s="31" t="s">
        <v>69</v>
      </c>
      <c r="H2" s="30" t="s">
        <v>70</v>
      </c>
    </row>
    <row r="3">
      <c r="A3" s="32">
        <v>1.0</v>
      </c>
      <c r="B3" s="33">
        <v>45945.0</v>
      </c>
      <c r="C3" s="19" t="s">
        <v>71</v>
      </c>
      <c r="D3" s="19" t="s">
        <v>72</v>
      </c>
      <c r="E3" s="19" t="s">
        <v>73</v>
      </c>
      <c r="F3" s="19" t="s">
        <v>74</v>
      </c>
      <c r="G3" s="19" t="s">
        <v>27</v>
      </c>
      <c r="H3" s="34"/>
    </row>
    <row r="4">
      <c r="A4" s="35">
        <v>2.0</v>
      </c>
      <c r="B4" s="36">
        <f t="shared" ref="B4:B11" si="1">B3+7</f>
        <v>45952</v>
      </c>
      <c r="C4" s="20" t="s">
        <v>72</v>
      </c>
      <c r="D4" s="20" t="s">
        <v>71</v>
      </c>
      <c r="E4" s="20" t="s">
        <v>73</v>
      </c>
      <c r="F4" s="20" t="s">
        <v>39</v>
      </c>
      <c r="G4" s="20" t="s">
        <v>27</v>
      </c>
      <c r="H4" s="37"/>
    </row>
    <row r="5">
      <c r="A5" s="32">
        <v>3.0</v>
      </c>
      <c r="B5" s="33">
        <f t="shared" si="1"/>
        <v>45959</v>
      </c>
      <c r="C5" s="19" t="s">
        <v>71</v>
      </c>
      <c r="D5" s="19" t="s">
        <v>72</v>
      </c>
      <c r="E5" s="19" t="s">
        <v>73</v>
      </c>
      <c r="F5" s="19" t="s">
        <v>75</v>
      </c>
      <c r="G5" s="19" t="s">
        <v>27</v>
      </c>
      <c r="H5" s="34"/>
    </row>
    <row r="6">
      <c r="A6" s="35">
        <v>4.0</v>
      </c>
      <c r="B6" s="36">
        <f t="shared" si="1"/>
        <v>45966</v>
      </c>
      <c r="C6" s="20" t="s">
        <v>72</v>
      </c>
      <c r="D6" s="20" t="s">
        <v>71</v>
      </c>
      <c r="E6" s="20" t="s">
        <v>73</v>
      </c>
      <c r="F6" s="20" t="s">
        <v>76</v>
      </c>
      <c r="G6" s="20" t="s">
        <v>27</v>
      </c>
      <c r="H6" s="37"/>
    </row>
    <row r="7">
      <c r="A7" s="32">
        <v>5.0</v>
      </c>
      <c r="B7" s="33">
        <f t="shared" si="1"/>
        <v>45973</v>
      </c>
      <c r="C7" s="19" t="s">
        <v>71</v>
      </c>
      <c r="D7" s="19" t="s">
        <v>72</v>
      </c>
      <c r="E7" s="19" t="s">
        <v>73</v>
      </c>
      <c r="F7" s="19" t="s">
        <v>77</v>
      </c>
      <c r="G7" s="19" t="s">
        <v>27</v>
      </c>
      <c r="H7" s="34"/>
    </row>
    <row r="8">
      <c r="A8" s="35">
        <v>6.0</v>
      </c>
      <c r="B8" s="36">
        <f t="shared" si="1"/>
        <v>45980</v>
      </c>
      <c r="C8" s="20" t="s">
        <v>72</v>
      </c>
      <c r="D8" s="20" t="s">
        <v>71</v>
      </c>
      <c r="E8" s="20" t="s">
        <v>73</v>
      </c>
      <c r="F8" s="6" t="s">
        <v>78</v>
      </c>
      <c r="G8" s="20" t="s">
        <v>27</v>
      </c>
      <c r="H8" s="37"/>
    </row>
    <row r="9">
      <c r="A9" s="32">
        <v>7.0</v>
      </c>
      <c r="B9" s="33">
        <f t="shared" si="1"/>
        <v>45987</v>
      </c>
      <c r="C9" s="21" t="s">
        <v>71</v>
      </c>
      <c r="D9" s="21" t="s">
        <v>72</v>
      </c>
      <c r="E9" s="21" t="s">
        <v>73</v>
      </c>
      <c r="F9" s="21" t="s">
        <v>79</v>
      </c>
      <c r="G9" s="19" t="s">
        <v>27</v>
      </c>
      <c r="H9" s="19" t="s">
        <v>80</v>
      </c>
    </row>
    <row r="10">
      <c r="A10" s="35">
        <v>8.0</v>
      </c>
      <c r="B10" s="36">
        <f t="shared" si="1"/>
        <v>45994</v>
      </c>
      <c r="C10" s="22" t="s">
        <v>72</v>
      </c>
      <c r="D10" s="22" t="s">
        <v>71</v>
      </c>
      <c r="E10" s="22" t="s">
        <v>73</v>
      </c>
      <c r="F10" s="22" t="s">
        <v>76</v>
      </c>
      <c r="G10" s="20" t="s">
        <v>27</v>
      </c>
      <c r="H10" s="37"/>
    </row>
    <row r="11">
      <c r="A11" s="32">
        <v>9.0</v>
      </c>
      <c r="B11" s="33">
        <f t="shared" si="1"/>
        <v>46001</v>
      </c>
      <c r="C11" s="21" t="s">
        <v>71</v>
      </c>
      <c r="D11" s="21" t="s">
        <v>72</v>
      </c>
      <c r="E11" s="21" t="s">
        <v>73</v>
      </c>
      <c r="F11" s="19" t="s">
        <v>75</v>
      </c>
      <c r="G11" s="19" t="s">
        <v>27</v>
      </c>
      <c r="H11" s="34"/>
    </row>
    <row r="12">
      <c r="A12" s="35">
        <v>10.0</v>
      </c>
      <c r="B12" s="36">
        <v>46033.0</v>
      </c>
      <c r="C12" s="22" t="s">
        <v>72</v>
      </c>
      <c r="D12" s="22" t="s">
        <v>71</v>
      </c>
      <c r="E12" s="22" t="s">
        <v>73</v>
      </c>
      <c r="F12" s="22" t="s">
        <v>77</v>
      </c>
      <c r="G12" s="20" t="s">
        <v>27</v>
      </c>
      <c r="H12" s="37"/>
    </row>
    <row r="13">
      <c r="A13" s="32">
        <v>11.0</v>
      </c>
      <c r="B13" s="33">
        <f t="shared" ref="B13:B17" si="2">B12+7</f>
        <v>46040</v>
      </c>
      <c r="C13" s="21" t="s">
        <v>71</v>
      </c>
      <c r="D13" s="21" t="s">
        <v>72</v>
      </c>
      <c r="E13" s="21" t="s">
        <v>73</v>
      </c>
      <c r="F13" s="3" t="s">
        <v>78</v>
      </c>
      <c r="G13" s="19" t="s">
        <v>27</v>
      </c>
      <c r="H13" s="34"/>
    </row>
    <row r="14">
      <c r="A14" s="35">
        <v>12.0</v>
      </c>
      <c r="B14" s="36">
        <f t="shared" si="2"/>
        <v>46047</v>
      </c>
      <c r="C14" s="22" t="s">
        <v>72</v>
      </c>
      <c r="D14" s="22" t="s">
        <v>71</v>
      </c>
      <c r="E14" s="22" t="s">
        <v>73</v>
      </c>
      <c r="F14" s="22" t="s">
        <v>79</v>
      </c>
      <c r="G14" s="20" t="s">
        <v>27</v>
      </c>
      <c r="H14" s="37"/>
    </row>
    <row r="15">
      <c r="A15" s="32">
        <v>13.0</v>
      </c>
      <c r="B15" s="33">
        <f t="shared" si="2"/>
        <v>46054</v>
      </c>
      <c r="C15" s="21" t="s">
        <v>71</v>
      </c>
      <c r="D15" s="21" t="s">
        <v>72</v>
      </c>
      <c r="E15" s="21" t="s">
        <v>73</v>
      </c>
      <c r="F15" s="21" t="s">
        <v>75</v>
      </c>
      <c r="G15" s="19" t="s">
        <v>27</v>
      </c>
      <c r="H15" s="34"/>
    </row>
    <row r="16">
      <c r="A16" s="35">
        <v>14.0</v>
      </c>
      <c r="B16" s="36">
        <f t="shared" si="2"/>
        <v>46061</v>
      </c>
      <c r="C16" s="22" t="s">
        <v>72</v>
      </c>
      <c r="D16" s="22" t="s">
        <v>71</v>
      </c>
      <c r="E16" s="22" t="s">
        <v>73</v>
      </c>
      <c r="F16" s="22" t="s">
        <v>39</v>
      </c>
      <c r="G16" s="20" t="s">
        <v>27</v>
      </c>
      <c r="H16" s="20" t="s">
        <v>81</v>
      </c>
    </row>
    <row r="17">
      <c r="A17" s="32">
        <v>15.0</v>
      </c>
      <c r="B17" s="33">
        <f t="shared" si="2"/>
        <v>46068</v>
      </c>
      <c r="C17" s="21" t="s">
        <v>71</v>
      </c>
      <c r="D17" s="21" t="s">
        <v>72</v>
      </c>
      <c r="E17" s="21" t="s">
        <v>73</v>
      </c>
      <c r="F17" s="3" t="s">
        <v>78</v>
      </c>
      <c r="G17" s="19" t="s">
        <v>27</v>
      </c>
      <c r="H17" s="19" t="s">
        <v>82</v>
      </c>
    </row>
    <row r="18">
      <c r="A18" s="9"/>
      <c r="B18" s="37"/>
      <c r="C18" s="9"/>
      <c r="D18" s="9"/>
      <c r="E18" s="9"/>
      <c r="F18" s="9"/>
      <c r="G18" s="9"/>
      <c r="H18" s="37"/>
    </row>
    <row r="19">
      <c r="A19" s="19" t="s">
        <v>83</v>
      </c>
      <c r="B19" s="34"/>
      <c r="C19" s="3"/>
      <c r="D19" s="3"/>
      <c r="E19" s="3"/>
      <c r="F19" s="3"/>
      <c r="G19" s="3"/>
      <c r="H19" s="34"/>
    </row>
    <row r="20">
      <c r="A20" s="9"/>
      <c r="B20" s="37"/>
      <c r="C20" s="9"/>
      <c r="D20" s="9"/>
      <c r="E20" s="9"/>
      <c r="F20" s="9"/>
      <c r="G20" s="9"/>
      <c r="H20" s="37"/>
    </row>
    <row r="21">
      <c r="A21" s="3"/>
      <c r="B21" s="34"/>
      <c r="C21" s="3"/>
      <c r="D21" s="3"/>
      <c r="E21" s="3"/>
      <c r="F21" s="3"/>
      <c r="G21" s="3"/>
      <c r="H21" s="34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38" t="s">
        <v>84</v>
      </c>
      <c r="B1" s="39" t="s">
        <v>85</v>
      </c>
    </row>
    <row r="2">
      <c r="A2" s="6"/>
      <c r="B2" s="40" t="s">
        <v>86</v>
      </c>
    </row>
    <row r="3">
      <c r="A3" s="38" t="s">
        <v>87</v>
      </c>
      <c r="B3" s="41" t="s">
        <v>88</v>
      </c>
    </row>
    <row r="4">
      <c r="A4" s="6"/>
      <c r="B4" s="40" t="s">
        <v>89</v>
      </c>
    </row>
    <row r="5">
      <c r="A5" s="38" t="s">
        <v>90</v>
      </c>
      <c r="B5" s="41" t="s">
        <v>91</v>
      </c>
    </row>
    <row r="6">
      <c r="A6" s="6"/>
      <c r="B6" s="40" t="s">
        <v>92</v>
      </c>
    </row>
    <row r="7">
      <c r="A7" s="38" t="s">
        <v>93</v>
      </c>
      <c r="B7" s="42" t="s">
        <v>94</v>
      </c>
    </row>
    <row r="8">
      <c r="A8" s="6"/>
      <c r="B8" s="40" t="s">
        <v>95</v>
      </c>
    </row>
    <row r="9">
      <c r="A9" s="38" t="s">
        <v>96</v>
      </c>
      <c r="B9" s="41" t="s">
        <v>97</v>
      </c>
    </row>
    <row r="10">
      <c r="A10" s="6"/>
      <c r="B10" s="40" t="s">
        <v>98</v>
      </c>
    </row>
    <row r="11">
      <c r="A11" s="38" t="s">
        <v>99</v>
      </c>
      <c r="B11" s="41" t="s">
        <v>100</v>
      </c>
    </row>
    <row r="12">
      <c r="A12" s="9"/>
      <c r="B12" s="40" t="s">
        <v>101</v>
      </c>
    </row>
    <row r="13">
      <c r="A13" s="38" t="s">
        <v>102</v>
      </c>
      <c r="B13" s="41" t="s">
        <v>103</v>
      </c>
    </row>
    <row r="14">
      <c r="A14" s="9"/>
      <c r="B14" s="40" t="s">
        <v>104</v>
      </c>
    </row>
    <row r="15">
      <c r="A15" s="43" t="s">
        <v>105</v>
      </c>
      <c r="B15" s="41" t="s">
        <v>106</v>
      </c>
    </row>
    <row r="16">
      <c r="A16" s="9"/>
      <c r="B16" s="9"/>
    </row>
    <row r="17">
      <c r="A17" s="43" t="s">
        <v>107</v>
      </c>
      <c r="B17" s="41" t="s">
        <v>108</v>
      </c>
    </row>
    <row r="18">
      <c r="A18" s="9"/>
      <c r="B18" s="9"/>
    </row>
    <row r="19">
      <c r="A19" s="38" t="s">
        <v>109</v>
      </c>
      <c r="B19" s="3"/>
    </row>
    <row r="20">
      <c r="A20" s="3"/>
      <c r="B20" s="3"/>
    </row>
    <row r="21">
      <c r="A21" s="6" t="s">
        <v>69</v>
      </c>
      <c r="B21" s="9" t="s">
        <v>110</v>
      </c>
    </row>
    <row r="22">
      <c r="A22" s="8" t="s">
        <v>111</v>
      </c>
      <c r="B22" s="3" t="s">
        <v>71</v>
      </c>
    </row>
    <row r="23">
      <c r="A23" s="6" t="s">
        <v>111</v>
      </c>
      <c r="B23" s="9" t="s">
        <v>72</v>
      </c>
    </row>
    <row r="24">
      <c r="A24" s="8" t="s">
        <v>112</v>
      </c>
      <c r="B24" s="3" t="s">
        <v>77</v>
      </c>
    </row>
    <row r="25">
      <c r="A25" s="6" t="s">
        <v>112</v>
      </c>
      <c r="B25" s="9" t="s">
        <v>76</v>
      </c>
    </row>
    <row r="26">
      <c r="A26" s="8" t="s">
        <v>112</v>
      </c>
      <c r="B26" s="3" t="s">
        <v>79</v>
      </c>
    </row>
    <row r="27">
      <c r="A27" s="6" t="s">
        <v>112</v>
      </c>
      <c r="B27" s="9" t="s">
        <v>78</v>
      </c>
    </row>
    <row r="28">
      <c r="A28" s="8" t="s">
        <v>112</v>
      </c>
      <c r="B28" s="3" t="s">
        <v>113</v>
      </c>
    </row>
    <row r="29">
      <c r="A29" s="6" t="s">
        <v>112</v>
      </c>
      <c r="B29" s="44" t="s">
        <v>75</v>
      </c>
    </row>
    <row r="30">
      <c r="A30" s="3"/>
      <c r="B30" s="3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45" t="s">
        <v>114</v>
      </c>
      <c r="B1" s="45" t="s">
        <v>115</v>
      </c>
    </row>
    <row r="2">
      <c r="A2" s="46"/>
      <c r="B2" s="47"/>
    </row>
    <row r="3">
      <c r="A3" s="48" t="s">
        <v>116</v>
      </c>
      <c r="B3" s="48" t="s">
        <v>117</v>
      </c>
    </row>
  </sheetData>
  <mergeCells count="2">
    <mergeCell ref="A3:A20"/>
    <mergeCell ref="B3:B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9" t="s">
        <v>118</v>
      </c>
      <c r="B1" s="49" t="s">
        <v>119</v>
      </c>
    </row>
    <row r="2">
      <c r="A2" s="50"/>
      <c r="B2" s="50"/>
    </row>
    <row r="3">
      <c r="A3" s="50"/>
      <c r="B3" s="50"/>
    </row>
    <row r="4">
      <c r="A4" s="50"/>
      <c r="B4" s="50"/>
    </row>
    <row r="5">
      <c r="A5" s="50"/>
      <c r="B5" s="50"/>
    </row>
    <row r="6">
      <c r="A6" s="50"/>
      <c r="B6" s="50"/>
    </row>
    <row r="7">
      <c r="A7" s="50"/>
      <c r="B7" s="50"/>
    </row>
    <row r="8">
      <c r="A8" s="50"/>
      <c r="B8" s="50"/>
    </row>
    <row r="9">
      <c r="A9" s="50"/>
      <c r="B9" s="50"/>
    </row>
    <row r="10">
      <c r="A10" s="50"/>
      <c r="B10" s="50"/>
    </row>
    <row r="11">
      <c r="A11" s="50"/>
      <c r="B11" s="50"/>
    </row>
    <row r="12">
      <c r="A12" s="50"/>
      <c r="B12" s="50"/>
    </row>
    <row r="13">
      <c r="A13" s="50"/>
      <c r="B13" s="50"/>
    </row>
    <row r="14">
      <c r="A14" s="50"/>
      <c r="B14" s="50"/>
    </row>
    <row r="15">
      <c r="A15" s="50"/>
      <c r="B15" s="50"/>
    </row>
    <row r="16">
      <c r="A16" s="50"/>
      <c r="B16" s="50"/>
    </row>
    <row r="17">
      <c r="A17" s="50"/>
      <c r="B17" s="50"/>
    </row>
    <row r="18">
      <c r="A18" s="50"/>
      <c r="B18" s="50"/>
    </row>
    <row r="19">
      <c r="A19" s="50"/>
      <c r="B19" s="50"/>
    </row>
    <row r="20">
      <c r="A20" s="50"/>
      <c r="B20" s="50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51" t="s">
        <v>120</v>
      </c>
      <c r="B1" s="52" t="s">
        <v>121</v>
      </c>
    </row>
    <row r="2">
      <c r="A2" s="53">
        <v>1.0</v>
      </c>
      <c r="B2" s="54" t="s">
        <v>122</v>
      </c>
    </row>
    <row r="3">
      <c r="A3" s="53">
        <f t="shared" ref="A3:A16" si="1">A2+1</f>
        <v>2</v>
      </c>
      <c r="B3" s="54" t="s">
        <v>122</v>
      </c>
    </row>
    <row r="4">
      <c r="A4" s="53">
        <f t="shared" si="1"/>
        <v>3</v>
      </c>
      <c r="B4" s="54" t="s">
        <v>122</v>
      </c>
    </row>
    <row r="5">
      <c r="A5" s="53">
        <f t="shared" si="1"/>
        <v>4</v>
      </c>
      <c r="B5" s="55" t="s">
        <v>123</v>
      </c>
    </row>
    <row r="6">
      <c r="A6" s="53">
        <f t="shared" si="1"/>
        <v>5</v>
      </c>
      <c r="B6" s="54" t="s">
        <v>124</v>
      </c>
    </row>
    <row r="7">
      <c r="A7" s="53">
        <f t="shared" si="1"/>
        <v>6</v>
      </c>
      <c r="B7" s="50"/>
    </row>
    <row r="8">
      <c r="A8" s="53">
        <f t="shared" si="1"/>
        <v>7</v>
      </c>
      <c r="B8" s="50"/>
    </row>
    <row r="9">
      <c r="A9" s="53">
        <f t="shared" si="1"/>
        <v>8</v>
      </c>
      <c r="B9" s="50"/>
    </row>
    <row r="10">
      <c r="A10" s="53">
        <f t="shared" si="1"/>
        <v>9</v>
      </c>
      <c r="B10" s="50"/>
    </row>
    <row r="11">
      <c r="A11" s="53">
        <f t="shared" si="1"/>
        <v>10</v>
      </c>
      <c r="B11" s="50"/>
    </row>
    <row r="12">
      <c r="A12" s="53">
        <f t="shared" si="1"/>
        <v>11</v>
      </c>
      <c r="B12" s="50"/>
    </row>
    <row r="13">
      <c r="A13" s="53">
        <f t="shared" si="1"/>
        <v>12</v>
      </c>
      <c r="B13" s="50"/>
    </row>
    <row r="14">
      <c r="A14" s="53">
        <f t="shared" si="1"/>
        <v>13</v>
      </c>
      <c r="B14" s="50"/>
    </row>
    <row r="15">
      <c r="A15" s="53">
        <f t="shared" si="1"/>
        <v>14</v>
      </c>
      <c r="B15" s="50"/>
    </row>
    <row r="16">
      <c r="A16" s="53">
        <f t="shared" si="1"/>
        <v>15</v>
      </c>
      <c r="B16" s="50"/>
    </row>
    <row r="17">
      <c r="A17" s="53"/>
      <c r="B17" s="50"/>
    </row>
    <row r="18">
      <c r="A18" s="53"/>
      <c r="B18" s="50"/>
    </row>
    <row r="19">
      <c r="A19" s="56"/>
      <c r="B19" s="50"/>
    </row>
    <row r="20">
      <c r="A20" s="56"/>
      <c r="B20" s="50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51" t="s">
        <v>120</v>
      </c>
      <c r="B1" s="52" t="s">
        <v>125</v>
      </c>
    </row>
    <row r="2">
      <c r="A2" s="53">
        <v>1.0</v>
      </c>
      <c r="B2" s="54"/>
    </row>
    <row r="3">
      <c r="A3" s="53">
        <f t="shared" ref="A3:A16" si="1">A2+1</f>
        <v>2</v>
      </c>
      <c r="B3" s="54"/>
    </row>
    <row r="4">
      <c r="A4" s="53">
        <f t="shared" si="1"/>
        <v>3</v>
      </c>
      <c r="B4" s="54"/>
    </row>
    <row r="5">
      <c r="A5" s="53">
        <f t="shared" si="1"/>
        <v>4</v>
      </c>
    </row>
    <row r="6">
      <c r="A6" s="53">
        <f t="shared" si="1"/>
        <v>5</v>
      </c>
      <c r="B6" s="54"/>
    </row>
    <row r="7">
      <c r="A7" s="53">
        <f t="shared" si="1"/>
        <v>6</v>
      </c>
      <c r="B7" s="50"/>
    </row>
    <row r="8">
      <c r="A8" s="53">
        <f t="shared" si="1"/>
        <v>7</v>
      </c>
      <c r="B8" s="50"/>
    </row>
    <row r="9">
      <c r="A9" s="53">
        <f t="shared" si="1"/>
        <v>8</v>
      </c>
      <c r="B9" s="50"/>
    </row>
    <row r="10">
      <c r="A10" s="53">
        <f t="shared" si="1"/>
        <v>9</v>
      </c>
      <c r="B10" s="50"/>
    </row>
    <row r="11">
      <c r="A11" s="53">
        <f t="shared" si="1"/>
        <v>10</v>
      </c>
      <c r="B11" s="50"/>
    </row>
    <row r="12">
      <c r="A12" s="53">
        <f t="shared" si="1"/>
        <v>11</v>
      </c>
      <c r="B12" s="50"/>
    </row>
    <row r="13">
      <c r="A13" s="53">
        <f t="shared" si="1"/>
        <v>12</v>
      </c>
      <c r="B13" s="50"/>
    </row>
    <row r="14">
      <c r="A14" s="53">
        <f t="shared" si="1"/>
        <v>13</v>
      </c>
      <c r="B14" s="50"/>
    </row>
    <row r="15">
      <c r="A15" s="53">
        <f t="shared" si="1"/>
        <v>14</v>
      </c>
      <c r="B15" s="50"/>
    </row>
    <row r="16">
      <c r="A16" s="53">
        <f t="shared" si="1"/>
        <v>15</v>
      </c>
      <c r="B16" s="50"/>
    </row>
    <row r="17">
      <c r="A17" s="53"/>
      <c r="B17" s="50"/>
    </row>
    <row r="18">
      <c r="A18" s="53"/>
      <c r="B18" s="57" t="s">
        <v>126</v>
      </c>
    </row>
    <row r="19">
      <c r="A19" s="56"/>
      <c r="B19" s="50"/>
    </row>
    <row r="20">
      <c r="A20" s="56"/>
      <c r="B20" s="50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58" t="s">
        <v>127</v>
      </c>
      <c r="B1" s="59" t="s">
        <v>128</v>
      </c>
      <c r="C1" s="60" t="s">
        <v>129</v>
      </c>
      <c r="D1" s="61" t="s">
        <v>130</v>
      </c>
      <c r="E1" s="61" t="s">
        <v>131</v>
      </c>
      <c r="F1" s="61" t="s">
        <v>132</v>
      </c>
      <c r="G1" s="61" t="s">
        <v>133</v>
      </c>
    </row>
    <row r="2">
      <c r="A2" s="62"/>
      <c r="B2" s="63"/>
      <c r="C2" s="64"/>
      <c r="D2" s="64"/>
      <c r="E2" s="64"/>
      <c r="F2" s="64"/>
      <c r="G2" s="64"/>
    </row>
    <row r="3">
      <c r="A3" s="65" t="s">
        <v>134</v>
      </c>
      <c r="B3" s="66"/>
      <c r="C3" s="67"/>
      <c r="D3" s="67"/>
      <c r="E3" s="67"/>
      <c r="F3" s="67"/>
      <c r="G3" s="67"/>
    </row>
    <row r="4">
      <c r="A4" s="62"/>
      <c r="B4" s="63"/>
      <c r="C4" s="64"/>
      <c r="D4" s="64"/>
      <c r="E4" s="64"/>
      <c r="F4" s="64"/>
      <c r="G4" s="64"/>
    </row>
    <row r="5">
      <c r="A5" s="68" t="s">
        <v>135</v>
      </c>
      <c r="B5" s="69"/>
      <c r="C5" s="70"/>
      <c r="D5" s="71">
        <f>sum(D8:D13)</f>
        <v>0</v>
      </c>
      <c r="E5" s="71">
        <f>D5</f>
        <v>0</v>
      </c>
      <c r="F5" s="70"/>
      <c r="G5" s="70"/>
    </row>
    <row r="6">
      <c r="A6" s="62"/>
      <c r="B6" s="63"/>
      <c r="C6" s="64"/>
      <c r="D6" s="64"/>
      <c r="E6" s="64"/>
      <c r="F6" s="64"/>
      <c r="G6" s="64"/>
    </row>
    <row r="7">
      <c r="A7" s="72" t="s">
        <v>136</v>
      </c>
      <c r="B7" s="73"/>
      <c r="C7" s="74"/>
      <c r="D7" s="74"/>
      <c r="E7" s="74"/>
      <c r="F7" s="74"/>
      <c r="G7" s="74"/>
    </row>
    <row r="8">
      <c r="A8" s="62"/>
      <c r="B8" s="63"/>
      <c r="C8" s="64"/>
      <c r="D8" s="64"/>
      <c r="E8" s="75" t="s">
        <v>137</v>
      </c>
      <c r="F8" s="64"/>
      <c r="G8" s="75" t="s">
        <v>138</v>
      </c>
    </row>
    <row r="9">
      <c r="A9" s="76">
        <v>1.0</v>
      </c>
      <c r="B9" s="68"/>
      <c r="C9" s="70"/>
      <c r="D9" s="71">
        <f>sum(D16:D21)</f>
        <v>0</v>
      </c>
      <c r="E9" s="71">
        <f>$D$5</f>
        <v>0</v>
      </c>
      <c r="F9" s="71">
        <f>sum(F16:F21)</f>
        <v>0</v>
      </c>
      <c r="G9" s="71">
        <f>$D$5</f>
        <v>0</v>
      </c>
    </row>
    <row r="10">
      <c r="A10" s="62">
        <f t="shared" ref="A10:A11" si="1">A9+1</f>
        <v>2</v>
      </c>
      <c r="B10" s="63"/>
      <c r="C10" s="64"/>
      <c r="D10" s="77">
        <f>sum(D22:D27)</f>
        <v>0</v>
      </c>
      <c r="E10" s="77">
        <f t="shared" ref="E10:E12" si="2">E9-D9</f>
        <v>0</v>
      </c>
      <c r="F10" s="77">
        <f>sum(F22:F27)</f>
        <v>0</v>
      </c>
      <c r="G10" s="77">
        <f t="shared" ref="G10:G12" si="3">G9-F9</f>
        <v>0</v>
      </c>
    </row>
    <row r="11">
      <c r="A11" s="76">
        <f t="shared" si="1"/>
        <v>3</v>
      </c>
      <c r="B11" s="68"/>
      <c r="C11" s="70"/>
      <c r="D11" s="71">
        <f>sum(D28:D33)</f>
        <v>0</v>
      </c>
      <c r="E11" s="71">
        <f t="shared" si="2"/>
        <v>0</v>
      </c>
      <c r="F11" s="71">
        <f>sum(F28:F33)</f>
        <v>0</v>
      </c>
      <c r="G11" s="71">
        <f t="shared" si="3"/>
        <v>0</v>
      </c>
    </row>
    <row r="12">
      <c r="A12" s="78" t="s">
        <v>139</v>
      </c>
      <c r="B12" s="79"/>
      <c r="C12" s="64"/>
      <c r="D12" s="64"/>
      <c r="E12" s="77">
        <f t="shared" si="2"/>
        <v>0</v>
      </c>
      <c r="F12" s="64"/>
      <c r="G12" s="77">
        <f t="shared" si="3"/>
        <v>0</v>
      </c>
    </row>
    <row r="13">
      <c r="A13" s="76"/>
      <c r="B13" s="68"/>
      <c r="C13" s="70"/>
      <c r="D13" s="70"/>
      <c r="E13" s="70"/>
      <c r="F13" s="70"/>
      <c r="G13" s="70"/>
    </row>
    <row r="14">
      <c r="A14" s="80" t="s">
        <v>140</v>
      </c>
      <c r="B14" s="81"/>
      <c r="C14" s="82"/>
      <c r="D14" s="82"/>
      <c r="E14" s="82"/>
      <c r="F14" s="82"/>
      <c r="G14" s="82"/>
    </row>
    <row r="15">
      <c r="A15" s="76"/>
      <c r="B15" s="68"/>
      <c r="C15" s="70"/>
      <c r="D15" s="70"/>
      <c r="E15" s="70"/>
      <c r="F15" s="70"/>
      <c r="G15" s="70"/>
    </row>
    <row r="16">
      <c r="A16" s="83">
        <f t="shared" ref="A16:B16" si="4">A9</f>
        <v>1</v>
      </c>
      <c r="B16" s="84" t="str">
        <f t="shared" si="4"/>
        <v/>
      </c>
      <c r="C16" s="64"/>
      <c r="D16" s="64"/>
      <c r="E16" s="64"/>
      <c r="F16" s="64"/>
      <c r="G16" s="64"/>
    </row>
    <row r="17">
      <c r="A17" s="76"/>
      <c r="B17" s="85"/>
      <c r="C17" s="70"/>
      <c r="D17" s="70"/>
      <c r="E17" s="70"/>
      <c r="F17" s="70"/>
      <c r="G17" s="70"/>
    </row>
    <row r="18">
      <c r="A18" s="62"/>
      <c r="B18" s="63"/>
      <c r="C18" s="79"/>
      <c r="D18" s="86"/>
      <c r="E18" s="63"/>
      <c r="F18" s="86"/>
      <c r="G18" s="63"/>
    </row>
    <row r="19">
      <c r="A19" s="76"/>
      <c r="B19" s="85"/>
      <c r="C19" s="70"/>
      <c r="D19" s="71"/>
      <c r="E19" s="70"/>
      <c r="F19" s="71"/>
      <c r="G19" s="70"/>
    </row>
    <row r="20">
      <c r="A20" s="87"/>
      <c r="B20" s="79"/>
      <c r="C20" s="79"/>
      <c r="D20" s="77"/>
      <c r="E20" s="79"/>
      <c r="F20" s="77"/>
      <c r="G20" s="79"/>
    </row>
    <row r="21">
      <c r="A21" s="76"/>
      <c r="B21" s="85"/>
      <c r="C21" s="70"/>
      <c r="D21" s="71"/>
      <c r="E21" s="70"/>
      <c r="F21" s="71"/>
      <c r="G21" s="70"/>
    </row>
    <row r="22">
      <c r="A22" s="83">
        <f t="shared" ref="A22:B22" si="5">A10</f>
        <v>2</v>
      </c>
      <c r="B22" s="84" t="str">
        <f t="shared" si="5"/>
        <v/>
      </c>
      <c r="C22" s="64"/>
      <c r="D22" s="64"/>
      <c r="E22" s="64"/>
      <c r="F22" s="64"/>
      <c r="G22" s="64"/>
    </row>
    <row r="23">
      <c r="A23" s="76"/>
      <c r="B23" s="85"/>
      <c r="C23" s="70"/>
      <c r="D23" s="70"/>
      <c r="E23" s="70"/>
      <c r="F23" s="70"/>
      <c r="G23" s="70"/>
    </row>
    <row r="24">
      <c r="A24" s="87"/>
      <c r="B24" s="79"/>
      <c r="C24" s="79"/>
      <c r="D24" s="77"/>
      <c r="E24" s="79"/>
      <c r="F24" s="77"/>
      <c r="G24" s="79"/>
    </row>
    <row r="25">
      <c r="A25" s="76"/>
      <c r="B25" s="85"/>
      <c r="C25" s="70"/>
      <c r="D25" s="71"/>
      <c r="E25" s="70"/>
      <c r="F25" s="71"/>
      <c r="G25" s="70"/>
    </row>
    <row r="26">
      <c r="A26" s="87"/>
      <c r="B26" s="79"/>
      <c r="C26" s="79"/>
      <c r="D26" s="77"/>
      <c r="E26" s="79"/>
      <c r="F26" s="77"/>
      <c r="G26" s="79"/>
    </row>
    <row r="27">
      <c r="A27" s="76"/>
      <c r="B27" s="85"/>
      <c r="C27" s="70"/>
      <c r="D27" s="71"/>
      <c r="E27" s="70"/>
      <c r="F27" s="71"/>
      <c r="G27" s="70"/>
    </row>
    <row r="28">
      <c r="A28" s="83">
        <f t="shared" ref="A28:B28" si="6">A11</f>
        <v>3</v>
      </c>
      <c r="B28" s="84" t="str">
        <f t="shared" si="6"/>
        <v/>
      </c>
      <c r="C28" s="64"/>
      <c r="D28" s="64"/>
      <c r="E28" s="64"/>
      <c r="F28" s="64"/>
      <c r="G28" s="64"/>
    </row>
    <row r="29">
      <c r="A29" s="76"/>
      <c r="B29" s="85"/>
      <c r="C29" s="70"/>
      <c r="D29" s="70"/>
      <c r="E29" s="70"/>
      <c r="F29" s="70"/>
      <c r="G29" s="70"/>
    </row>
    <row r="30">
      <c r="A30" s="87"/>
      <c r="B30" s="79"/>
      <c r="C30" s="79"/>
      <c r="D30" s="77"/>
      <c r="E30" s="79"/>
      <c r="F30" s="79"/>
      <c r="G30" s="79"/>
    </row>
    <row r="31">
      <c r="A31" s="76"/>
      <c r="B31" s="85"/>
      <c r="C31" s="70"/>
      <c r="D31" s="71"/>
      <c r="E31" s="70"/>
      <c r="F31" s="70"/>
      <c r="G31" s="70"/>
    </row>
    <row r="32">
      <c r="A32" s="87"/>
      <c r="B32" s="79"/>
      <c r="C32" s="64"/>
      <c r="D32" s="77"/>
      <c r="E32" s="79"/>
      <c r="F32" s="79"/>
      <c r="G32" s="79"/>
    </row>
    <row r="33">
      <c r="A33" s="76"/>
      <c r="B33" s="85"/>
      <c r="C33" s="88" t="s">
        <v>141</v>
      </c>
      <c r="D33" s="71"/>
      <c r="E33" s="70"/>
      <c r="F33" s="70"/>
      <c r="G33" s="70"/>
    </row>
    <row r="34">
      <c r="A34" s="87"/>
      <c r="B34" s="79"/>
      <c r="C34" s="64"/>
      <c r="D34" s="64"/>
      <c r="E34" s="64"/>
      <c r="F34" s="64"/>
      <c r="G34" s="64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58" t="s">
        <v>127</v>
      </c>
      <c r="B1" s="89" t="s">
        <v>128</v>
      </c>
      <c r="C1" s="60" t="s">
        <v>129</v>
      </c>
      <c r="D1" s="61" t="s">
        <v>130</v>
      </c>
      <c r="E1" s="61" t="s">
        <v>131</v>
      </c>
      <c r="F1" s="61" t="s">
        <v>132</v>
      </c>
      <c r="G1" s="61" t="s">
        <v>133</v>
      </c>
    </row>
    <row r="2">
      <c r="A2" s="62"/>
      <c r="B2" s="64"/>
      <c r="C2" s="64"/>
      <c r="D2" s="64"/>
      <c r="E2" s="64"/>
      <c r="F2" s="64"/>
      <c r="G2" s="64"/>
    </row>
    <row r="3">
      <c r="A3" s="65" t="s">
        <v>134</v>
      </c>
      <c r="B3" s="67"/>
      <c r="C3" s="67"/>
      <c r="D3" s="67"/>
      <c r="E3" s="67"/>
      <c r="F3" s="67"/>
      <c r="G3" s="67"/>
    </row>
    <row r="4">
      <c r="A4" s="62"/>
      <c r="B4" s="64"/>
      <c r="C4" s="64"/>
      <c r="D4" s="64"/>
      <c r="E4" s="64"/>
      <c r="F4" s="64"/>
      <c r="G4" s="64"/>
    </row>
    <row r="5">
      <c r="A5" s="68" t="s">
        <v>135</v>
      </c>
      <c r="B5" s="70"/>
      <c r="C5" s="70"/>
      <c r="D5" s="71">
        <f>sum(D8:D13)</f>
        <v>0</v>
      </c>
      <c r="E5" s="71">
        <f>D5</f>
        <v>0</v>
      </c>
      <c r="F5" s="70"/>
      <c r="G5" s="70"/>
    </row>
    <row r="6">
      <c r="A6" s="62"/>
      <c r="B6" s="64"/>
      <c r="C6" s="64"/>
      <c r="D6" s="64"/>
      <c r="E6" s="64"/>
      <c r="F6" s="64"/>
      <c r="G6" s="64"/>
    </row>
    <row r="7">
      <c r="A7" s="72" t="s">
        <v>136</v>
      </c>
      <c r="B7" s="90"/>
      <c r="C7" s="74"/>
      <c r="D7" s="74"/>
      <c r="E7" s="74"/>
      <c r="F7" s="74"/>
      <c r="G7" s="74"/>
    </row>
    <row r="8">
      <c r="A8" s="62"/>
      <c r="B8" s="64"/>
      <c r="C8" s="64"/>
      <c r="D8" s="64"/>
      <c r="E8" s="75" t="s">
        <v>137</v>
      </c>
      <c r="F8" s="64"/>
      <c r="G8" s="75" t="s">
        <v>138</v>
      </c>
    </row>
    <row r="9">
      <c r="A9" s="76">
        <v>1.0</v>
      </c>
      <c r="B9" s="70"/>
      <c r="C9" s="70"/>
      <c r="D9" s="71">
        <f>sum(D16:D21)</f>
        <v>0</v>
      </c>
      <c r="E9" s="71">
        <f>$D$5</f>
        <v>0</v>
      </c>
      <c r="F9" s="71">
        <f>sum(F16:F21)</f>
        <v>0</v>
      </c>
      <c r="G9" s="71">
        <f>$D$5</f>
        <v>0</v>
      </c>
    </row>
    <row r="10">
      <c r="A10" s="62">
        <f t="shared" ref="A10:A11" si="1">A9+1</f>
        <v>2</v>
      </c>
      <c r="B10" s="64"/>
      <c r="C10" s="64"/>
      <c r="D10" s="77">
        <f>sum(D22:D27)</f>
        <v>0</v>
      </c>
      <c r="E10" s="77">
        <f t="shared" ref="E10:E12" si="2">E9-D9</f>
        <v>0</v>
      </c>
      <c r="F10" s="77">
        <f>sum(F22:F27)</f>
        <v>0</v>
      </c>
      <c r="G10" s="77">
        <f t="shared" ref="G10:G12" si="3">G9-F9</f>
        <v>0</v>
      </c>
    </row>
    <row r="11">
      <c r="A11" s="76">
        <f t="shared" si="1"/>
        <v>3</v>
      </c>
      <c r="B11" s="70"/>
      <c r="C11" s="70"/>
      <c r="D11" s="71">
        <f>sum(D28:D33)</f>
        <v>0</v>
      </c>
      <c r="E11" s="71">
        <f t="shared" si="2"/>
        <v>0</v>
      </c>
      <c r="F11" s="71">
        <f>sum(F28:F33)</f>
        <v>0</v>
      </c>
      <c r="G11" s="71">
        <f t="shared" si="3"/>
        <v>0</v>
      </c>
    </row>
    <row r="12">
      <c r="A12" s="78" t="s">
        <v>139</v>
      </c>
      <c r="B12" s="64"/>
      <c r="C12" s="64"/>
      <c r="D12" s="64"/>
      <c r="E12" s="77">
        <f t="shared" si="2"/>
        <v>0</v>
      </c>
      <c r="F12" s="64"/>
      <c r="G12" s="77">
        <f t="shared" si="3"/>
        <v>0</v>
      </c>
    </row>
    <row r="13">
      <c r="A13" s="76"/>
      <c r="B13" s="70"/>
      <c r="C13" s="70"/>
      <c r="D13" s="70"/>
      <c r="E13" s="70"/>
      <c r="F13" s="70"/>
      <c r="G13" s="70"/>
    </row>
    <row r="14">
      <c r="A14" s="80" t="s">
        <v>140</v>
      </c>
      <c r="B14" s="81"/>
      <c r="C14" s="82"/>
      <c r="D14" s="82"/>
      <c r="E14" s="82"/>
      <c r="F14" s="82"/>
      <c r="G14" s="82"/>
    </row>
    <row r="15">
      <c r="A15" s="76"/>
      <c r="B15" s="70"/>
      <c r="C15" s="70"/>
      <c r="D15" s="70"/>
      <c r="E15" s="70"/>
      <c r="F15" s="70"/>
      <c r="G15" s="70"/>
    </row>
    <row r="16">
      <c r="A16" s="83">
        <f>A9</f>
        <v>1</v>
      </c>
      <c r="B16" s="64"/>
      <c r="C16" s="64"/>
      <c r="D16" s="64"/>
      <c r="E16" s="64"/>
      <c r="F16" s="64"/>
      <c r="G16" s="64"/>
    </row>
    <row r="17">
      <c r="A17" s="76"/>
      <c r="B17" s="85"/>
      <c r="C17" s="70"/>
      <c r="D17" s="70"/>
      <c r="E17" s="70"/>
      <c r="F17" s="70"/>
      <c r="G17" s="70"/>
    </row>
    <row r="18">
      <c r="A18" s="62"/>
      <c r="B18" s="91"/>
      <c r="C18" s="79"/>
      <c r="D18" s="86"/>
      <c r="E18" s="63"/>
      <c r="F18" s="86"/>
      <c r="G18" s="63"/>
    </row>
    <row r="19">
      <c r="A19" s="76"/>
      <c r="B19" s="70"/>
      <c r="C19" s="70"/>
      <c r="D19" s="71"/>
      <c r="E19" s="70"/>
      <c r="F19" s="71"/>
      <c r="G19" s="70"/>
    </row>
    <row r="20">
      <c r="A20" s="87"/>
      <c r="B20" s="64"/>
      <c r="C20" s="79"/>
      <c r="D20" s="77"/>
      <c r="E20" s="79"/>
      <c r="F20" s="77"/>
      <c r="G20" s="79"/>
    </row>
    <row r="21">
      <c r="A21" s="76"/>
      <c r="B21" s="70"/>
      <c r="C21" s="70"/>
      <c r="D21" s="71"/>
      <c r="E21" s="70"/>
      <c r="F21" s="71"/>
      <c r="G21" s="70"/>
    </row>
    <row r="22">
      <c r="A22" s="83">
        <f>A10</f>
        <v>2</v>
      </c>
      <c r="B22" s="64"/>
      <c r="C22" s="64"/>
      <c r="D22" s="64"/>
      <c r="E22" s="64"/>
      <c r="F22" s="64"/>
      <c r="G22" s="64"/>
    </row>
    <row r="23">
      <c r="A23" s="76"/>
      <c r="B23" s="85"/>
      <c r="C23" s="70"/>
      <c r="D23" s="70"/>
      <c r="E23" s="70"/>
      <c r="F23" s="70"/>
      <c r="G23" s="70"/>
    </row>
    <row r="24">
      <c r="A24" s="87"/>
      <c r="B24" s="64"/>
      <c r="C24" s="79"/>
      <c r="D24" s="77"/>
      <c r="E24" s="79"/>
      <c r="F24" s="77"/>
      <c r="G24" s="79"/>
    </row>
    <row r="25">
      <c r="A25" s="76"/>
      <c r="B25" s="70"/>
      <c r="C25" s="70"/>
      <c r="D25" s="71"/>
      <c r="E25" s="70"/>
      <c r="F25" s="71"/>
      <c r="G25" s="70"/>
    </row>
    <row r="26">
      <c r="A26" s="87"/>
      <c r="B26" s="64"/>
      <c r="C26" s="79"/>
      <c r="D26" s="77"/>
      <c r="E26" s="79"/>
      <c r="F26" s="77"/>
      <c r="G26" s="79"/>
    </row>
    <row r="27">
      <c r="A27" s="76"/>
      <c r="B27" s="70"/>
      <c r="C27" s="70"/>
      <c r="D27" s="71"/>
      <c r="E27" s="70"/>
      <c r="F27" s="71"/>
      <c r="G27" s="70"/>
    </row>
    <row r="28">
      <c r="A28" s="83">
        <f>A11</f>
        <v>3</v>
      </c>
      <c r="B28" s="64"/>
      <c r="C28" s="64"/>
      <c r="D28" s="64"/>
      <c r="E28" s="64"/>
      <c r="F28" s="64"/>
      <c r="G28" s="64"/>
    </row>
    <row r="29">
      <c r="A29" s="76"/>
      <c r="B29" s="85"/>
      <c r="C29" s="70"/>
      <c r="D29" s="70"/>
      <c r="E29" s="70"/>
      <c r="F29" s="70"/>
      <c r="G29" s="70"/>
    </row>
    <row r="30">
      <c r="A30" s="87"/>
      <c r="B30" s="64"/>
      <c r="C30" s="79"/>
      <c r="D30" s="77"/>
      <c r="E30" s="79"/>
      <c r="F30" s="79"/>
      <c r="G30" s="79"/>
    </row>
    <row r="31">
      <c r="A31" s="76"/>
      <c r="B31" s="70"/>
      <c r="C31" s="70"/>
      <c r="D31" s="71"/>
      <c r="E31" s="70"/>
      <c r="F31" s="70"/>
      <c r="G31" s="70"/>
    </row>
    <row r="32">
      <c r="A32" s="87"/>
      <c r="B32" s="64"/>
      <c r="C32" s="64"/>
      <c r="D32" s="77"/>
      <c r="E32" s="79"/>
      <c r="F32" s="79"/>
      <c r="G32" s="79"/>
    </row>
    <row r="33">
      <c r="A33" s="76"/>
      <c r="B33" s="70"/>
      <c r="C33" s="88" t="s">
        <v>141</v>
      </c>
      <c r="D33" s="71"/>
      <c r="E33" s="70"/>
      <c r="F33" s="70"/>
      <c r="G33" s="70"/>
    </row>
    <row r="34">
      <c r="A34" s="87"/>
      <c r="B34" s="64"/>
      <c r="C34" s="64"/>
      <c r="D34" s="64"/>
      <c r="E34" s="64"/>
      <c r="F34" s="64"/>
      <c r="G34" s="64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5.13"/>
    <col customWidth="1" min="2" max="4" width="40.13"/>
  </cols>
  <sheetData>
    <row r="1">
      <c r="A1" s="92" t="s">
        <v>63</v>
      </c>
      <c r="B1" s="59" t="s">
        <v>142</v>
      </c>
      <c r="C1" s="59" t="s">
        <v>143</v>
      </c>
      <c r="D1" s="93" t="s">
        <v>144</v>
      </c>
    </row>
    <row r="2">
      <c r="A2" s="50"/>
      <c r="B2" s="50"/>
      <c r="C2" s="50"/>
      <c r="D2" s="50"/>
    </row>
    <row r="3">
      <c r="A3" s="50"/>
      <c r="B3" s="50"/>
      <c r="C3" s="50"/>
      <c r="D3" s="50"/>
    </row>
    <row r="4">
      <c r="A4" s="50"/>
      <c r="B4" s="50"/>
      <c r="C4" s="50"/>
      <c r="D4" s="50"/>
    </row>
    <row r="5">
      <c r="A5" s="50"/>
      <c r="B5" s="50"/>
      <c r="C5" s="50"/>
      <c r="D5" s="50"/>
    </row>
    <row r="6">
      <c r="A6" s="50"/>
      <c r="B6" s="50"/>
      <c r="C6" s="50"/>
      <c r="D6" s="50"/>
    </row>
    <row r="7">
      <c r="A7" s="50"/>
      <c r="B7" s="50"/>
      <c r="C7" s="50"/>
      <c r="D7" s="50"/>
    </row>
    <row r="8">
      <c r="A8" s="50"/>
      <c r="B8" s="50"/>
      <c r="C8" s="50"/>
      <c r="D8" s="50"/>
    </row>
    <row r="9">
      <c r="A9" s="50"/>
      <c r="B9" s="50"/>
      <c r="C9" s="50"/>
      <c r="D9" s="50"/>
    </row>
    <row r="10">
      <c r="A10" s="50"/>
      <c r="B10" s="50"/>
      <c r="C10" s="50"/>
      <c r="D10" s="50"/>
    </row>
    <row r="11">
      <c r="A11" s="50"/>
      <c r="B11" s="50"/>
      <c r="C11" s="50"/>
      <c r="D11" s="50"/>
    </row>
    <row r="12">
      <c r="A12" s="50"/>
      <c r="B12" s="50"/>
      <c r="C12" s="50"/>
      <c r="D12" s="50"/>
    </row>
    <row r="13">
      <c r="A13" s="50"/>
      <c r="B13" s="50"/>
      <c r="C13" s="50"/>
      <c r="D13" s="50"/>
    </row>
    <row r="14">
      <c r="A14" s="50"/>
      <c r="B14" s="50"/>
      <c r="C14" s="50"/>
      <c r="D14" s="50"/>
    </row>
    <row r="15">
      <c r="A15" s="50"/>
      <c r="B15" s="50"/>
      <c r="C15" s="50"/>
      <c r="D15" s="50"/>
    </row>
    <row r="16">
      <c r="A16" s="50"/>
      <c r="B16" s="50"/>
      <c r="C16" s="50"/>
      <c r="D16" s="50"/>
    </row>
    <row r="17">
      <c r="A17" s="50"/>
      <c r="B17" s="50"/>
      <c r="C17" s="50"/>
      <c r="D17" s="50"/>
    </row>
    <row r="18">
      <c r="A18" s="50"/>
      <c r="B18" s="50"/>
      <c r="C18" s="50"/>
      <c r="D18" s="50"/>
    </row>
    <row r="19">
      <c r="A19" s="50"/>
      <c r="B19" s="50"/>
      <c r="C19" s="50"/>
      <c r="D19" s="50"/>
    </row>
    <row r="20">
      <c r="A20" s="50"/>
      <c r="B20" s="50"/>
      <c r="C20" s="50"/>
      <c r="D20" s="50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52" t="s">
        <v>145</v>
      </c>
      <c r="B1" s="52" t="s">
        <v>146</v>
      </c>
    </row>
    <row r="2">
      <c r="A2" s="50"/>
      <c r="B2" s="50"/>
    </row>
    <row r="3">
      <c r="A3" s="50"/>
      <c r="B3" s="50"/>
    </row>
    <row r="4">
      <c r="A4" s="50"/>
      <c r="B4" s="50"/>
    </row>
    <row r="5">
      <c r="A5" s="50"/>
      <c r="B5" s="50"/>
    </row>
    <row r="6">
      <c r="A6" s="50"/>
      <c r="B6" s="50"/>
    </row>
    <row r="7">
      <c r="A7" s="50"/>
      <c r="B7" s="50"/>
    </row>
    <row r="8">
      <c r="A8" s="50"/>
      <c r="B8" s="50"/>
    </row>
    <row r="9">
      <c r="A9" s="50"/>
      <c r="B9" s="50"/>
    </row>
    <row r="10">
      <c r="A10" s="50"/>
      <c r="B10" s="50"/>
    </row>
    <row r="11">
      <c r="A11" s="50"/>
      <c r="B11" s="50"/>
    </row>
    <row r="12">
      <c r="A12" s="50"/>
      <c r="B12" s="50"/>
    </row>
    <row r="13">
      <c r="A13" s="50"/>
      <c r="B13" s="50"/>
    </row>
    <row r="14">
      <c r="A14" s="50"/>
      <c r="B14" s="50"/>
    </row>
    <row r="15">
      <c r="A15" s="50"/>
      <c r="B15" s="50"/>
    </row>
    <row r="16">
      <c r="A16" s="50"/>
      <c r="B16" s="50"/>
    </row>
    <row r="17">
      <c r="A17" s="50"/>
      <c r="B17" s="50"/>
    </row>
    <row r="18">
      <c r="A18" s="50"/>
      <c r="B18" s="50"/>
    </row>
    <row r="19">
      <c r="A19" s="50"/>
      <c r="B19" s="50"/>
    </row>
    <row r="20">
      <c r="A20" s="50"/>
      <c r="B20" s="50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38"/>
    <col customWidth="1" min="2" max="2" width="38.0"/>
    <col customWidth="1" min="3" max="3" width="37.63"/>
    <col customWidth="1" min="4" max="4" width="19.25"/>
    <col customWidth="1" min="5" max="5" width="16.63"/>
    <col customWidth="1" min="6" max="6" width="59.25"/>
    <col customWidth="1" min="7" max="7" width="42.0"/>
    <col customWidth="1" min="8" max="9" width="37.63"/>
    <col customWidth="1" min="10" max="10" width="9.0"/>
    <col customWidth="1" min="11" max="11" width="14.75"/>
    <col customWidth="1" min="12" max="12" width="25.88"/>
    <col customWidth="1" min="13" max="21" width="37.63"/>
  </cols>
  <sheetData>
    <row r="1">
      <c r="A1" s="94" t="s">
        <v>147</v>
      </c>
      <c r="B1" s="95" t="s">
        <v>148</v>
      </c>
      <c r="C1" s="96"/>
      <c r="D1" s="97" t="s">
        <v>149</v>
      </c>
      <c r="E1" s="96"/>
      <c r="F1" s="96"/>
      <c r="G1" s="96"/>
      <c r="H1" s="96"/>
      <c r="I1" s="97" t="s">
        <v>150</v>
      </c>
      <c r="J1" s="96"/>
      <c r="K1" s="98"/>
      <c r="L1" s="96"/>
      <c r="M1" s="96"/>
      <c r="N1" s="96"/>
      <c r="O1" s="96"/>
      <c r="P1" s="97" t="s">
        <v>151</v>
      </c>
      <c r="Q1" s="96"/>
      <c r="R1" s="96"/>
      <c r="S1" s="96"/>
      <c r="T1" s="96"/>
      <c r="U1" s="96"/>
    </row>
    <row r="2">
      <c r="A2" s="94" t="s">
        <v>152</v>
      </c>
      <c r="B2" s="99" t="s">
        <v>153</v>
      </c>
      <c r="C2" s="100"/>
      <c r="D2" s="100"/>
      <c r="E2" s="100"/>
      <c r="F2" s="100"/>
      <c r="G2" s="100"/>
      <c r="H2" s="100"/>
      <c r="I2" s="100"/>
      <c r="J2" s="100"/>
      <c r="K2" s="101"/>
      <c r="L2" s="100"/>
      <c r="M2" s="100"/>
      <c r="N2" s="100"/>
      <c r="O2" s="100"/>
      <c r="P2" s="100"/>
      <c r="Q2" s="100"/>
      <c r="R2" s="100"/>
      <c r="S2" s="100"/>
      <c r="T2" s="100"/>
      <c r="U2" s="100"/>
    </row>
    <row r="3">
      <c r="A3" s="94" t="s">
        <v>154</v>
      </c>
      <c r="B3" s="102" t="s">
        <v>155</v>
      </c>
      <c r="C3" s="100"/>
      <c r="D3" s="100"/>
      <c r="E3" s="100"/>
      <c r="F3" s="100"/>
      <c r="G3" s="100"/>
      <c r="H3" s="100"/>
      <c r="I3" s="100"/>
      <c r="J3" s="100"/>
      <c r="K3" s="101"/>
      <c r="L3" s="100"/>
      <c r="M3" s="100"/>
      <c r="N3" s="100"/>
      <c r="O3" s="100"/>
      <c r="P3" s="100"/>
      <c r="Q3" s="100"/>
      <c r="R3" s="100"/>
      <c r="S3" s="100"/>
      <c r="T3" s="100"/>
      <c r="U3" s="100"/>
    </row>
    <row r="4">
      <c r="A4" s="94" t="s">
        <v>156</v>
      </c>
      <c r="B4" s="102" t="s">
        <v>157</v>
      </c>
      <c r="C4" s="100"/>
      <c r="D4" s="94" t="s">
        <v>158</v>
      </c>
      <c r="E4" s="94" t="s">
        <v>159</v>
      </c>
      <c r="F4" s="94" t="s">
        <v>160</v>
      </c>
      <c r="G4" s="94" t="s">
        <v>161</v>
      </c>
      <c r="H4" s="100"/>
      <c r="I4" s="103" t="s">
        <v>158</v>
      </c>
      <c r="J4" s="103" t="s">
        <v>159</v>
      </c>
      <c r="K4" s="103" t="s">
        <v>152</v>
      </c>
      <c r="L4" s="103" t="s">
        <v>162</v>
      </c>
      <c r="M4" s="103" t="s">
        <v>163</v>
      </c>
      <c r="N4" s="103" t="s">
        <v>161</v>
      </c>
      <c r="O4" s="100"/>
      <c r="P4" s="103" t="s">
        <v>158</v>
      </c>
      <c r="Q4" s="103" t="s">
        <v>159</v>
      </c>
      <c r="R4" s="103" t="s">
        <v>152</v>
      </c>
      <c r="S4" s="103" t="s">
        <v>161</v>
      </c>
      <c r="T4" s="104"/>
      <c r="U4" s="104"/>
    </row>
    <row r="5">
      <c r="A5" s="94" t="s">
        <v>164</v>
      </c>
      <c r="B5" s="99" t="s">
        <v>165</v>
      </c>
      <c r="C5" s="100"/>
      <c r="D5" s="94" t="s">
        <v>166</v>
      </c>
      <c r="E5" s="105" t="s">
        <v>167</v>
      </c>
      <c r="F5" s="105" t="s">
        <v>168</v>
      </c>
      <c r="G5" s="105" t="s">
        <v>169</v>
      </c>
      <c r="H5" s="100"/>
      <c r="I5" s="106" t="s">
        <v>170</v>
      </c>
      <c r="J5" s="107" t="s">
        <v>171</v>
      </c>
      <c r="K5" s="108" t="s">
        <v>172</v>
      </c>
      <c r="L5" s="107" t="s">
        <v>173</v>
      </c>
      <c r="M5" s="107" t="s">
        <v>174</v>
      </c>
      <c r="N5" s="107" t="s">
        <v>175</v>
      </c>
      <c r="O5" s="100"/>
      <c r="P5" s="106" t="s">
        <v>176</v>
      </c>
      <c r="Q5" s="107" t="s">
        <v>177</v>
      </c>
      <c r="R5" s="107" t="s">
        <v>178</v>
      </c>
      <c r="S5" s="107" t="s">
        <v>179</v>
      </c>
      <c r="T5" s="109"/>
      <c r="U5" s="109"/>
    </row>
    <row r="6">
      <c r="A6" s="94" t="s">
        <v>180</v>
      </c>
      <c r="B6" s="99" t="s">
        <v>113</v>
      </c>
      <c r="C6" s="100"/>
      <c r="D6" s="94" t="s">
        <v>181</v>
      </c>
      <c r="E6" s="105" t="s">
        <v>182</v>
      </c>
      <c r="F6" s="105" t="s">
        <v>183</v>
      </c>
      <c r="G6" s="105" t="s">
        <v>184</v>
      </c>
      <c r="H6" s="100"/>
      <c r="I6" s="106" t="s">
        <v>185</v>
      </c>
      <c r="J6" s="107" t="s">
        <v>171</v>
      </c>
      <c r="K6" s="107" t="s">
        <v>186</v>
      </c>
      <c r="L6" s="107" t="s">
        <v>187</v>
      </c>
      <c r="M6" s="107" t="s">
        <v>188</v>
      </c>
      <c r="N6" s="107" t="s">
        <v>189</v>
      </c>
      <c r="O6" s="100"/>
      <c r="P6" s="106" t="s">
        <v>190</v>
      </c>
      <c r="Q6" s="108" t="s">
        <v>165</v>
      </c>
      <c r="R6" s="107" t="s">
        <v>191</v>
      </c>
      <c r="S6" s="107" t="s">
        <v>192</v>
      </c>
      <c r="T6" s="109"/>
      <c r="U6" s="109"/>
    </row>
    <row r="7">
      <c r="A7" s="100"/>
      <c r="B7" s="100"/>
      <c r="C7" s="100"/>
      <c r="D7" s="94" t="s">
        <v>193</v>
      </c>
      <c r="E7" s="105" t="s">
        <v>194</v>
      </c>
      <c r="F7" s="105" t="s">
        <v>195</v>
      </c>
      <c r="G7" s="105" t="s">
        <v>196</v>
      </c>
      <c r="H7" s="100"/>
      <c r="I7" s="106" t="s">
        <v>197</v>
      </c>
      <c r="J7" s="107" t="s">
        <v>171</v>
      </c>
      <c r="K7" s="107" t="s">
        <v>198</v>
      </c>
      <c r="L7" s="107" t="s">
        <v>199</v>
      </c>
      <c r="M7" s="107" t="s">
        <v>200</v>
      </c>
      <c r="N7" s="107" t="s">
        <v>201</v>
      </c>
      <c r="O7" s="100"/>
      <c r="P7" s="106" t="s">
        <v>202</v>
      </c>
      <c r="Q7" s="108" t="s">
        <v>203</v>
      </c>
      <c r="R7" s="107" t="s">
        <v>204</v>
      </c>
      <c r="S7" s="107" t="s">
        <v>205</v>
      </c>
      <c r="T7" s="109"/>
      <c r="U7" s="109"/>
    </row>
    <row r="8">
      <c r="A8" s="100"/>
      <c r="B8" s="100"/>
      <c r="C8" s="100"/>
      <c r="D8" s="94" t="s">
        <v>206</v>
      </c>
      <c r="E8" s="105" t="s">
        <v>194</v>
      </c>
      <c r="F8" s="105" t="s">
        <v>207</v>
      </c>
      <c r="G8" s="105" t="s">
        <v>208</v>
      </c>
      <c r="H8" s="100"/>
      <c r="I8" s="106" t="s">
        <v>209</v>
      </c>
      <c r="J8" s="107" t="s">
        <v>171</v>
      </c>
      <c r="K8" s="107" t="s">
        <v>210</v>
      </c>
      <c r="L8" s="107" t="s">
        <v>199</v>
      </c>
      <c r="M8" s="107" t="s">
        <v>211</v>
      </c>
      <c r="N8" s="107" t="s">
        <v>212</v>
      </c>
      <c r="O8" s="100"/>
      <c r="P8" s="100"/>
      <c r="Q8" s="100"/>
      <c r="R8" s="100"/>
      <c r="S8" s="100"/>
      <c r="T8" s="100"/>
      <c r="U8" s="100"/>
    </row>
    <row r="9">
      <c r="A9" s="100"/>
      <c r="B9" s="100"/>
      <c r="C9" s="100"/>
      <c r="D9" s="110" t="s">
        <v>160</v>
      </c>
      <c r="E9" s="105" t="s">
        <v>213</v>
      </c>
      <c r="F9" s="111" t="s">
        <v>214</v>
      </c>
      <c r="G9" s="105" t="s">
        <v>215</v>
      </c>
      <c r="H9" s="100"/>
      <c r="I9" s="106" t="s">
        <v>216</v>
      </c>
      <c r="J9" s="107" t="s">
        <v>217</v>
      </c>
      <c r="K9" s="108" t="s">
        <v>218</v>
      </c>
      <c r="L9" s="107" t="s">
        <v>219</v>
      </c>
      <c r="M9" s="107" t="s">
        <v>220</v>
      </c>
      <c r="N9" s="107" t="s">
        <v>221</v>
      </c>
      <c r="O9" s="100"/>
      <c r="P9" s="100"/>
      <c r="Q9" s="100"/>
      <c r="R9" s="100"/>
      <c r="S9" s="100"/>
      <c r="T9" s="100"/>
      <c r="U9" s="100"/>
    </row>
    <row r="10">
      <c r="A10" s="100"/>
      <c r="B10" s="100"/>
      <c r="C10" s="100"/>
      <c r="D10" s="112" t="s">
        <v>222</v>
      </c>
      <c r="E10" s="111" t="s">
        <v>223</v>
      </c>
      <c r="F10" s="113" t="s">
        <v>224</v>
      </c>
      <c r="G10" s="113" t="s">
        <v>225</v>
      </c>
      <c r="H10" s="100"/>
      <c r="I10" s="106" t="s">
        <v>226</v>
      </c>
      <c r="J10" s="107" t="s">
        <v>217</v>
      </c>
      <c r="K10" s="107" t="s">
        <v>227</v>
      </c>
      <c r="L10" s="107" t="s">
        <v>228</v>
      </c>
      <c r="M10" s="107" t="s">
        <v>229</v>
      </c>
      <c r="N10" s="107" t="s">
        <v>230</v>
      </c>
      <c r="O10" s="100"/>
      <c r="P10" s="114"/>
      <c r="Q10" s="100"/>
      <c r="R10" s="100"/>
      <c r="S10" s="100"/>
      <c r="T10" s="100"/>
      <c r="U10" s="100"/>
    </row>
    <row r="11">
      <c r="A11" s="100"/>
      <c r="B11" s="100"/>
      <c r="C11" s="100"/>
      <c r="H11" s="100"/>
      <c r="I11" s="106" t="s">
        <v>231</v>
      </c>
      <c r="J11" s="107" t="s">
        <v>217</v>
      </c>
      <c r="K11" s="107" t="s">
        <v>232</v>
      </c>
      <c r="L11" s="107" t="s">
        <v>199</v>
      </c>
      <c r="M11" s="107" t="s">
        <v>200</v>
      </c>
      <c r="N11" s="107" t="s">
        <v>233</v>
      </c>
      <c r="O11" s="100"/>
      <c r="P11" s="115"/>
      <c r="Q11" s="115"/>
      <c r="R11" s="115"/>
      <c r="S11" s="115"/>
      <c r="T11" s="100"/>
      <c r="U11" s="100"/>
    </row>
    <row r="12">
      <c r="A12" s="100"/>
      <c r="B12" s="100"/>
      <c r="C12" s="100"/>
      <c r="D12" s="116"/>
      <c r="E12" s="116"/>
      <c r="F12" s="116"/>
      <c r="G12" s="116"/>
      <c r="H12" s="100"/>
      <c r="I12" s="106" t="s">
        <v>234</v>
      </c>
      <c r="J12" s="107" t="s">
        <v>217</v>
      </c>
      <c r="K12" s="107" t="s">
        <v>235</v>
      </c>
      <c r="L12" s="107" t="s">
        <v>219</v>
      </c>
      <c r="M12" s="107" t="s">
        <v>236</v>
      </c>
      <c r="N12" s="107" t="s">
        <v>237</v>
      </c>
      <c r="O12" s="100"/>
      <c r="T12" s="100"/>
      <c r="U12" s="100"/>
    </row>
    <row r="13">
      <c r="A13" s="100"/>
      <c r="B13" s="100"/>
      <c r="C13" s="100"/>
      <c r="D13" s="117" t="s">
        <v>238</v>
      </c>
      <c r="E13" s="118"/>
      <c r="F13" s="118"/>
      <c r="G13" s="118"/>
      <c r="H13" s="100"/>
      <c r="I13" s="106" t="s">
        <v>239</v>
      </c>
      <c r="J13" s="107" t="s">
        <v>217</v>
      </c>
      <c r="K13" s="107" t="s">
        <v>240</v>
      </c>
      <c r="L13" s="107" t="s">
        <v>219</v>
      </c>
      <c r="M13" s="107" t="s">
        <v>241</v>
      </c>
      <c r="N13" s="107" t="s">
        <v>242</v>
      </c>
      <c r="O13" s="100"/>
      <c r="P13" s="55"/>
      <c r="Q13" s="119"/>
      <c r="R13" s="55"/>
      <c r="S13" s="55"/>
      <c r="T13" s="100"/>
      <c r="U13" s="100"/>
    </row>
    <row r="14">
      <c r="A14" s="100"/>
      <c r="B14" s="100"/>
      <c r="C14" s="100"/>
      <c r="D14" s="120" t="s">
        <v>243</v>
      </c>
      <c r="E14" s="121" t="s">
        <v>167</v>
      </c>
      <c r="F14" s="121" t="s">
        <v>244</v>
      </c>
      <c r="G14" s="121" t="s">
        <v>245</v>
      </c>
      <c r="H14" s="100"/>
      <c r="I14" s="106" t="s">
        <v>246</v>
      </c>
      <c r="J14" s="107" t="s">
        <v>217</v>
      </c>
      <c r="K14" s="107" t="s">
        <v>247</v>
      </c>
      <c r="L14" s="107" t="s">
        <v>228</v>
      </c>
      <c r="M14" s="107" t="s">
        <v>248</v>
      </c>
      <c r="N14" s="107" t="s">
        <v>249</v>
      </c>
      <c r="O14" s="100"/>
      <c r="P14" s="55"/>
      <c r="Q14" s="119"/>
      <c r="R14" s="55"/>
      <c r="S14" s="55"/>
    </row>
    <row r="15">
      <c r="A15" s="100"/>
      <c r="B15" s="100"/>
      <c r="C15" s="100"/>
      <c r="D15" s="122"/>
      <c r="E15" s="122"/>
      <c r="F15" s="122"/>
      <c r="G15" s="122"/>
      <c r="H15" s="100"/>
      <c r="I15" s="106" t="s">
        <v>250</v>
      </c>
      <c r="J15" s="107" t="s">
        <v>217</v>
      </c>
      <c r="K15" s="107" t="s">
        <v>210</v>
      </c>
      <c r="L15" s="107" t="s">
        <v>199</v>
      </c>
      <c r="M15" s="107" t="s">
        <v>251</v>
      </c>
      <c r="N15" s="107" t="s">
        <v>252</v>
      </c>
      <c r="O15" s="100"/>
      <c r="P15" s="55"/>
      <c r="Q15" s="119"/>
      <c r="R15" s="55"/>
      <c r="S15" s="55"/>
      <c r="T15" s="100"/>
      <c r="U15" s="100"/>
    </row>
    <row r="16">
      <c r="A16" s="100"/>
      <c r="B16" s="100"/>
      <c r="C16" s="100"/>
      <c r="D16" s="97" t="s">
        <v>253</v>
      </c>
      <c r="E16" s="100"/>
      <c r="F16" s="100"/>
      <c r="G16" s="100"/>
      <c r="H16" s="100"/>
      <c r="I16" s="106" t="s">
        <v>254</v>
      </c>
      <c r="J16" s="107" t="s">
        <v>217</v>
      </c>
      <c r="K16" s="107" t="s">
        <v>255</v>
      </c>
      <c r="L16" s="107" t="s">
        <v>199</v>
      </c>
      <c r="M16" s="107" t="s">
        <v>256</v>
      </c>
      <c r="N16" s="107" t="s">
        <v>257</v>
      </c>
      <c r="O16" s="100"/>
      <c r="P16" s="55"/>
      <c r="Q16" s="119"/>
      <c r="R16" s="55"/>
      <c r="S16" s="55"/>
      <c r="T16" s="100"/>
      <c r="U16" s="100"/>
    </row>
    <row r="17">
      <c r="A17" s="100"/>
      <c r="B17" s="100"/>
      <c r="C17" s="100"/>
      <c r="D17" s="100"/>
      <c r="E17" s="100"/>
      <c r="F17" s="100"/>
      <c r="G17" s="100"/>
      <c r="H17" s="100"/>
      <c r="I17" s="106" t="s">
        <v>258</v>
      </c>
      <c r="J17" s="107" t="s">
        <v>217</v>
      </c>
      <c r="K17" s="107" t="s">
        <v>259</v>
      </c>
      <c r="L17" s="107" t="s">
        <v>228</v>
      </c>
      <c r="M17" s="108" t="s">
        <v>260</v>
      </c>
      <c r="N17" s="107" t="s">
        <v>261</v>
      </c>
      <c r="O17" s="100"/>
      <c r="P17" s="55"/>
      <c r="Q17" s="119"/>
      <c r="R17" s="55"/>
      <c r="S17" s="55"/>
      <c r="T17" s="100"/>
      <c r="U17" s="100"/>
    </row>
    <row r="18">
      <c r="A18" s="100"/>
      <c r="B18" s="100"/>
      <c r="C18" s="100"/>
      <c r="D18" s="94" t="s">
        <v>158</v>
      </c>
      <c r="E18" s="94" t="s">
        <v>159</v>
      </c>
      <c r="F18" s="94" t="s">
        <v>160</v>
      </c>
      <c r="G18" s="94" t="s">
        <v>161</v>
      </c>
      <c r="H18" s="100"/>
      <c r="I18" s="106" t="s">
        <v>262</v>
      </c>
      <c r="J18" s="107" t="s">
        <v>217</v>
      </c>
      <c r="K18" s="107" t="s">
        <v>263</v>
      </c>
      <c r="L18" s="107" t="s">
        <v>219</v>
      </c>
      <c r="M18" s="107" t="s">
        <v>264</v>
      </c>
      <c r="N18" s="107" t="s">
        <v>265</v>
      </c>
      <c r="O18" s="100"/>
      <c r="P18" s="100"/>
      <c r="Q18" s="100"/>
      <c r="R18" s="100"/>
      <c r="S18" s="100"/>
      <c r="T18" s="100"/>
      <c r="U18" s="100"/>
    </row>
    <row r="19">
      <c r="A19" s="100"/>
      <c r="B19" s="100"/>
      <c r="C19" s="100"/>
      <c r="D19" s="94" t="s">
        <v>244</v>
      </c>
      <c r="E19" s="123"/>
      <c r="F19" s="123"/>
      <c r="G19" s="123"/>
      <c r="H19" s="100"/>
      <c r="I19" s="106" t="s">
        <v>266</v>
      </c>
      <c r="J19" s="107" t="s">
        <v>217</v>
      </c>
      <c r="K19" s="107" t="s">
        <v>267</v>
      </c>
      <c r="L19" s="107" t="s">
        <v>228</v>
      </c>
      <c r="M19" s="107" t="s">
        <v>268</v>
      </c>
      <c r="N19" s="107" t="s">
        <v>269</v>
      </c>
      <c r="O19" s="100"/>
      <c r="P19" s="100"/>
      <c r="Q19" s="100"/>
      <c r="R19" s="100"/>
      <c r="S19" s="100"/>
      <c r="T19" s="100"/>
      <c r="U19" s="100"/>
    </row>
    <row r="20">
      <c r="A20" s="100"/>
      <c r="B20" s="100"/>
      <c r="C20" s="100"/>
      <c r="D20" s="123"/>
      <c r="E20" s="123"/>
      <c r="F20" s="123"/>
      <c r="G20" s="123"/>
      <c r="H20" s="100"/>
      <c r="I20" s="106" t="s">
        <v>270</v>
      </c>
      <c r="J20" s="107" t="s">
        <v>217</v>
      </c>
      <c r="K20" s="107" t="s">
        <v>271</v>
      </c>
      <c r="L20" s="107" t="s">
        <v>228</v>
      </c>
      <c r="M20" s="107" t="s">
        <v>272</v>
      </c>
      <c r="N20" s="107" t="s">
        <v>273</v>
      </c>
      <c r="O20" s="100"/>
      <c r="P20" s="100"/>
      <c r="R20" s="100"/>
      <c r="S20" s="100"/>
      <c r="T20" s="100"/>
      <c r="U20" s="100"/>
    </row>
    <row r="21">
      <c r="A21" s="100"/>
      <c r="B21" s="100"/>
      <c r="C21" s="100"/>
      <c r="D21" s="123"/>
      <c r="E21" s="123"/>
      <c r="F21" s="123"/>
      <c r="G21" s="123"/>
      <c r="H21" s="100"/>
      <c r="I21" s="106" t="s">
        <v>274</v>
      </c>
      <c r="J21" s="107" t="s">
        <v>217</v>
      </c>
      <c r="K21" s="107" t="s">
        <v>275</v>
      </c>
      <c r="L21" s="107" t="s">
        <v>276</v>
      </c>
      <c r="M21" s="107" t="s">
        <v>277</v>
      </c>
      <c r="N21" s="107" t="s">
        <v>278</v>
      </c>
      <c r="O21" s="100"/>
      <c r="P21" s="100"/>
      <c r="Q21" s="100"/>
      <c r="R21" s="100"/>
      <c r="S21" s="100"/>
      <c r="T21" s="100"/>
      <c r="U21" s="100"/>
    </row>
    <row r="22">
      <c r="A22" s="100"/>
      <c r="B22" s="100"/>
      <c r="C22" s="100"/>
      <c r="D22" s="123"/>
      <c r="E22" s="123"/>
      <c r="F22" s="123"/>
      <c r="G22" s="123"/>
      <c r="H22" s="100"/>
      <c r="I22" s="106" t="s">
        <v>279</v>
      </c>
      <c r="J22" s="107" t="s">
        <v>217</v>
      </c>
      <c r="K22" s="107" t="s">
        <v>280</v>
      </c>
      <c r="L22" s="107" t="s">
        <v>228</v>
      </c>
      <c r="M22" s="107" t="s">
        <v>281</v>
      </c>
      <c r="N22" s="107" t="s">
        <v>282</v>
      </c>
      <c r="O22" s="100"/>
      <c r="P22" s="100"/>
      <c r="Q22" s="100"/>
      <c r="R22" s="100"/>
      <c r="S22" s="100"/>
      <c r="T22" s="100"/>
      <c r="U22" s="100"/>
    </row>
    <row r="23">
      <c r="A23" s="100"/>
      <c r="B23" s="100"/>
      <c r="C23" s="100"/>
      <c r="D23" s="123"/>
      <c r="E23" s="123"/>
      <c r="F23" s="123"/>
      <c r="G23" s="123"/>
      <c r="H23" s="100"/>
      <c r="I23" s="100"/>
      <c r="J23" s="100"/>
      <c r="K23" s="101"/>
      <c r="L23" s="100"/>
      <c r="M23" s="100"/>
      <c r="N23" s="100"/>
      <c r="O23" s="100"/>
      <c r="P23" s="100"/>
      <c r="Q23" s="100"/>
      <c r="R23" s="100"/>
      <c r="S23" s="100"/>
      <c r="T23" s="100"/>
      <c r="U23" s="100"/>
    </row>
    <row r="24">
      <c r="A24" s="100"/>
      <c r="B24" s="100"/>
      <c r="C24" s="100"/>
      <c r="D24" s="123"/>
      <c r="E24" s="123"/>
      <c r="F24" s="123"/>
      <c r="G24" s="123"/>
      <c r="H24" s="100"/>
      <c r="I24" s="100"/>
      <c r="J24" s="100"/>
      <c r="K24" s="101"/>
      <c r="L24" s="100"/>
      <c r="M24" s="100"/>
      <c r="N24" s="100"/>
      <c r="O24" s="100"/>
      <c r="P24" s="100"/>
      <c r="Q24" s="100"/>
      <c r="R24" s="100"/>
      <c r="S24" s="100"/>
      <c r="T24" s="100"/>
      <c r="U24" s="100"/>
    </row>
    <row r="25">
      <c r="A25" s="100"/>
      <c r="B25" s="100"/>
      <c r="C25" s="100"/>
      <c r="D25" s="123"/>
      <c r="E25" s="123"/>
      <c r="F25" s="123"/>
      <c r="G25" s="123"/>
      <c r="H25" s="100"/>
      <c r="I25" s="100"/>
      <c r="J25" s="100"/>
      <c r="K25" s="101"/>
      <c r="L25" s="100"/>
      <c r="M25" s="100"/>
      <c r="N25" s="100"/>
      <c r="O25" s="100"/>
      <c r="P25" s="100"/>
      <c r="Q25" s="100"/>
      <c r="R25" s="100"/>
      <c r="S25" s="100"/>
      <c r="T25" s="100"/>
      <c r="U25" s="100"/>
    </row>
    <row r="26">
      <c r="A26" s="100"/>
      <c r="B26" s="100"/>
      <c r="C26" s="100"/>
      <c r="D26" s="123"/>
      <c r="E26" s="123"/>
      <c r="F26" s="123"/>
      <c r="G26" s="123"/>
      <c r="H26" s="100"/>
      <c r="I26" s="100"/>
      <c r="J26" s="100"/>
      <c r="K26" s="101"/>
      <c r="L26" s="100"/>
      <c r="M26" s="100"/>
      <c r="N26" s="100"/>
      <c r="O26" s="100"/>
      <c r="P26" s="100"/>
      <c r="Q26" s="100"/>
      <c r="R26" s="100"/>
      <c r="S26" s="100"/>
      <c r="T26" s="100"/>
      <c r="U26" s="10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124" t="str">
        <f>'Project Team'!A1</f>
        <v>Last Name</v>
      </c>
      <c r="B1" s="124" t="str">
        <f>'Project Team'!B1</f>
        <v>First Name</v>
      </c>
      <c r="C1" s="125" t="s">
        <v>283</v>
      </c>
      <c r="D1" s="126"/>
      <c r="E1" s="127"/>
      <c r="F1" s="128"/>
      <c r="G1" s="129"/>
      <c r="H1" s="129"/>
    </row>
    <row r="2">
      <c r="A2" s="130" t="str">
        <f>'Project Team'!A2</f>
        <v>Böhm</v>
      </c>
      <c r="B2" s="130" t="str">
        <f>'Project Team'!B2</f>
        <v>Luca</v>
      </c>
      <c r="C2" s="131"/>
      <c r="D2" s="132"/>
      <c r="E2" s="133" t="str">
        <f>average(C2:C10)</f>
        <v>#DIV/0!</v>
      </c>
      <c r="F2" s="134" t="str">
        <f>if(stdev(C2:C7) &gt; 0,"NOK", "OK")</f>
        <v>#DIV/0!</v>
      </c>
      <c r="G2" s="135"/>
      <c r="H2" s="135"/>
    </row>
    <row r="3">
      <c r="A3" s="136" t="str">
        <f>'Project Team'!A3</f>
        <v>Meusling</v>
      </c>
      <c r="B3" s="136" t="str">
        <f>'Project Team'!B3</f>
        <v>Patrick</v>
      </c>
      <c r="C3" s="131"/>
      <c r="D3" s="137"/>
      <c r="G3" s="138"/>
      <c r="H3" s="138"/>
    </row>
    <row r="4">
      <c r="A4" s="130" t="str">
        <f>'Project Team'!A4</f>
        <v>Arifin</v>
      </c>
      <c r="B4" s="130" t="str">
        <f>'Project Team'!B4</f>
        <v>Hafidz</v>
      </c>
      <c r="C4" s="139"/>
      <c r="D4" s="132"/>
      <c r="G4" s="135"/>
      <c r="H4" s="135"/>
    </row>
    <row r="5">
      <c r="A5" s="136" t="str">
        <f>'Project Team'!A5</f>
        <v>Huy</v>
      </c>
      <c r="B5" s="136" t="str">
        <f>'Project Team'!B5</f>
        <v>Christoph</v>
      </c>
      <c r="C5" s="131"/>
      <c r="D5" s="140"/>
      <c r="E5" s="140"/>
      <c r="F5" s="140"/>
      <c r="G5" s="138"/>
      <c r="H5" s="138"/>
    </row>
    <row r="6">
      <c r="A6" s="130" t="str">
        <f>'Project Team'!A6</f>
        <v>Selbig</v>
      </c>
      <c r="B6" s="130" t="str">
        <f>'Project Team'!B6</f>
        <v>Simon</v>
      </c>
      <c r="C6" s="131"/>
      <c r="D6" s="141"/>
      <c r="E6" s="142">
        <v>0.0</v>
      </c>
      <c r="F6" s="143" t="s">
        <v>284</v>
      </c>
      <c r="G6" s="135"/>
      <c r="H6" s="135"/>
    </row>
    <row r="7">
      <c r="A7" s="136" t="str">
        <f>'Project Team'!A7</f>
        <v>Haseeb</v>
      </c>
      <c r="B7" s="136" t="str">
        <f>'Project Team'!B7</f>
        <v>Abdul</v>
      </c>
      <c r="C7" s="131"/>
      <c r="D7" s="140"/>
      <c r="E7" s="142">
        <v>1.0</v>
      </c>
      <c r="F7" s="143" t="s">
        <v>285</v>
      </c>
      <c r="G7" s="138"/>
      <c r="H7" s="138"/>
    </row>
    <row r="8">
      <c r="A8" s="130" t="str">
        <f>'Project Team'!A8</f>
        <v>Pohnke</v>
      </c>
      <c r="B8" s="130" t="str">
        <f>'Project Team'!B8</f>
        <v>Hannes</v>
      </c>
      <c r="C8" s="131"/>
      <c r="D8" s="141"/>
      <c r="E8" s="142">
        <v>2.0</v>
      </c>
      <c r="F8" s="143" t="s">
        <v>286</v>
      </c>
      <c r="G8" s="135"/>
      <c r="H8" s="135"/>
    </row>
    <row r="9">
      <c r="A9" s="136" t="str">
        <f>'Project Team'!A9</f>
        <v>Jokiel</v>
      </c>
      <c r="B9" s="136" t="str">
        <f>'Project Team'!B9</f>
        <v>Rene</v>
      </c>
      <c r="C9" s="131"/>
      <c r="D9" s="140"/>
      <c r="E9" s="142">
        <v>3.0</v>
      </c>
      <c r="F9" s="143" t="s">
        <v>287</v>
      </c>
      <c r="G9" s="138"/>
      <c r="H9" s="138"/>
    </row>
    <row r="10">
      <c r="A10" s="130" t="str">
        <f>'Project Team'!A10</f>
        <v>Khabouze</v>
      </c>
      <c r="B10" s="130" t="str">
        <f>'Project Team'!B10</f>
        <v>Mehdi</v>
      </c>
      <c r="C10" s="131"/>
      <c r="D10" s="141"/>
      <c r="E10" s="142">
        <v>5.0</v>
      </c>
      <c r="F10" s="143" t="s">
        <v>288</v>
      </c>
      <c r="G10" s="135"/>
      <c r="H10" s="135"/>
    </row>
    <row r="11">
      <c r="A11" s="136"/>
      <c r="B11" s="136"/>
      <c r="C11" s="139"/>
      <c r="D11" s="140"/>
      <c r="E11" s="142">
        <v>8.0</v>
      </c>
      <c r="F11" s="143" t="s">
        <v>289</v>
      </c>
      <c r="G11" s="138"/>
      <c r="H11" s="138"/>
    </row>
    <row r="12">
      <c r="A12" s="130"/>
      <c r="B12" s="130"/>
      <c r="C12" s="139"/>
      <c r="D12" s="141"/>
      <c r="E12" s="142">
        <v>13.0</v>
      </c>
      <c r="F12" s="143" t="s">
        <v>290</v>
      </c>
      <c r="G12" s="135"/>
      <c r="H12" s="135"/>
    </row>
    <row r="13">
      <c r="A13" s="136"/>
      <c r="B13" s="136"/>
      <c r="C13" s="140"/>
      <c r="D13" s="140"/>
      <c r="E13" s="140"/>
      <c r="F13" s="140"/>
      <c r="G13" s="138"/>
      <c r="H13" s="138"/>
    </row>
    <row r="14">
      <c r="A14" s="144" t="s">
        <v>291</v>
      </c>
      <c r="B14" s="145"/>
      <c r="C14" s="145"/>
      <c r="D14" s="145"/>
      <c r="E14" s="145"/>
      <c r="F14" s="145"/>
      <c r="G14" s="145"/>
      <c r="H14" s="145"/>
    </row>
    <row r="15">
      <c r="A15" s="146"/>
      <c r="B15" s="146"/>
      <c r="C15" s="146"/>
      <c r="D15" s="146"/>
      <c r="E15" s="146"/>
      <c r="F15" s="146"/>
      <c r="G15" s="146"/>
      <c r="H15" s="146"/>
    </row>
    <row r="16">
      <c r="A16" s="147" t="s">
        <v>292</v>
      </c>
      <c r="B16" s="148"/>
      <c r="C16" s="148"/>
      <c r="D16" s="148"/>
      <c r="E16" s="148"/>
      <c r="F16" s="148"/>
      <c r="G16" s="148"/>
      <c r="H16" s="148"/>
    </row>
    <row r="17">
      <c r="A17" s="149" t="s">
        <v>293</v>
      </c>
      <c r="B17" s="146"/>
      <c r="C17" s="146"/>
      <c r="D17" s="146"/>
      <c r="E17" s="146"/>
      <c r="F17" s="146"/>
      <c r="G17" s="146"/>
      <c r="H17" s="146"/>
    </row>
    <row r="18">
      <c r="A18" s="147" t="s">
        <v>294</v>
      </c>
      <c r="B18" s="148"/>
      <c r="C18" s="148"/>
      <c r="D18" s="148"/>
      <c r="E18" s="148"/>
      <c r="F18" s="148"/>
      <c r="G18" s="148"/>
      <c r="H18" s="148"/>
    </row>
    <row r="19">
      <c r="A19" s="146"/>
      <c r="B19" s="146"/>
      <c r="C19" s="146"/>
      <c r="D19" s="146"/>
      <c r="E19" s="146"/>
      <c r="F19" s="146"/>
      <c r="G19" s="146"/>
      <c r="H19" s="146"/>
    </row>
    <row r="20">
      <c r="A20" s="148"/>
      <c r="B20" s="148"/>
      <c r="C20" s="148"/>
      <c r="D20" s="148"/>
      <c r="E20" s="148"/>
      <c r="F20" s="148"/>
      <c r="G20" s="148"/>
      <c r="H20" s="148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